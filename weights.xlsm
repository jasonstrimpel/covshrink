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05" yWindow="255" windowWidth="18405" windowHeight="11640" activeTab="1"/>
  </bookViews>
  <sheets>
    <sheet name="instructions" sheetId="4" r:id="rId1"/>
    <sheet name="Sheet1" sheetId="5" r:id="rId2"/>
  </sheets>
  <functionGroups/>
  <definedNames>
    <definedName name="_xlnm._FilterDatabase" localSheetId="1" hidden="1">Sheet1!$A$1:$E$502</definedName>
    <definedName name="QueryCell">#REF!</definedName>
  </definedNames>
  <calcPr calcId="125725"/>
</workbook>
</file>

<file path=xl/calcChain.xml><?xml version="1.0" encoding="utf-8"?>
<calcChain xmlns="http://schemas.openxmlformats.org/spreadsheetml/2006/main">
  <c r="D284" i="5"/>
  <c r="D317"/>
  <c r="C319" l="1"/>
  <c r="D319" s="1"/>
  <c r="B8" i="4"/>
  <c r="B7"/>
  <c r="C501" i="5" l="1"/>
  <c r="D501" s="1"/>
  <c r="C500"/>
  <c r="D500" s="1"/>
  <c r="C499"/>
  <c r="D499" s="1"/>
  <c r="C498"/>
  <c r="D498" s="1"/>
  <c r="C497"/>
  <c r="D497" s="1"/>
  <c r="C496"/>
  <c r="D496" s="1"/>
  <c r="C495"/>
  <c r="D495" s="1"/>
  <c r="C494"/>
  <c r="D494" s="1"/>
  <c r="C493"/>
  <c r="D493" s="1"/>
  <c r="C492"/>
  <c r="D492" s="1"/>
  <c r="C491"/>
  <c r="D491" s="1"/>
  <c r="C490"/>
  <c r="D490" s="1"/>
  <c r="C489"/>
  <c r="D489" s="1"/>
  <c r="C488"/>
  <c r="D488" s="1"/>
  <c r="C487"/>
  <c r="D487" s="1"/>
  <c r="C486"/>
  <c r="D486" s="1"/>
  <c r="C485"/>
  <c r="D485" s="1"/>
  <c r="C484"/>
  <c r="D484" s="1"/>
  <c r="C483"/>
  <c r="D483" s="1"/>
  <c r="C482"/>
  <c r="D482" s="1"/>
  <c r="C481"/>
  <c r="D481" s="1"/>
  <c r="C480"/>
  <c r="D480" s="1"/>
  <c r="C479"/>
  <c r="D479" s="1"/>
  <c r="C478"/>
  <c r="D478" s="1"/>
  <c r="C477"/>
  <c r="D477" s="1"/>
  <c r="C476"/>
  <c r="D476" s="1"/>
  <c r="C475"/>
  <c r="D475" s="1"/>
  <c r="C474"/>
  <c r="D474" s="1"/>
  <c r="C473"/>
  <c r="D473" s="1"/>
  <c r="C472"/>
  <c r="D472" s="1"/>
  <c r="C471"/>
  <c r="D471" s="1"/>
  <c r="C470"/>
  <c r="D470" s="1"/>
  <c r="C469"/>
  <c r="D469" s="1"/>
  <c r="C468"/>
  <c r="D468" s="1"/>
  <c r="C467"/>
  <c r="D467" s="1"/>
  <c r="C466"/>
  <c r="D466" s="1"/>
  <c r="C465"/>
  <c r="D465" s="1"/>
  <c r="C464"/>
  <c r="D464" s="1"/>
  <c r="C463"/>
  <c r="D463" s="1"/>
  <c r="C462"/>
  <c r="D462" s="1"/>
  <c r="C461"/>
  <c r="D461" s="1"/>
  <c r="C460"/>
  <c r="D460" s="1"/>
  <c r="C459"/>
  <c r="D459" s="1"/>
  <c r="C458"/>
  <c r="D458" s="1"/>
  <c r="C457"/>
  <c r="D457" s="1"/>
  <c r="C456"/>
  <c r="D456" s="1"/>
  <c r="C455"/>
  <c r="D455" s="1"/>
  <c r="C454"/>
  <c r="D454" s="1"/>
  <c r="C453"/>
  <c r="D453" s="1"/>
  <c r="C452"/>
  <c r="D452" s="1"/>
  <c r="C451"/>
  <c r="D451" s="1"/>
  <c r="C450"/>
  <c r="D450" s="1"/>
  <c r="C449"/>
  <c r="D449" s="1"/>
  <c r="C448"/>
  <c r="D448" s="1"/>
  <c r="C447"/>
  <c r="D447" s="1"/>
  <c r="C446"/>
  <c r="D446" s="1"/>
  <c r="C445"/>
  <c r="D445" s="1"/>
  <c r="C444"/>
  <c r="D444" s="1"/>
  <c r="C443"/>
  <c r="D443" s="1"/>
  <c r="C442"/>
  <c r="D442" s="1"/>
  <c r="C441"/>
  <c r="D441" s="1"/>
  <c r="C440"/>
  <c r="D440" s="1"/>
  <c r="C439"/>
  <c r="D439" s="1"/>
  <c r="C438"/>
  <c r="D438" s="1"/>
  <c r="C437"/>
  <c r="D437" s="1"/>
  <c r="C436"/>
  <c r="D436" s="1"/>
  <c r="C435"/>
  <c r="D435" s="1"/>
  <c r="C434"/>
  <c r="D434" s="1"/>
  <c r="C433"/>
  <c r="D433" s="1"/>
  <c r="C432"/>
  <c r="D432" s="1"/>
  <c r="C431"/>
  <c r="D431" s="1"/>
  <c r="C430"/>
  <c r="D430" s="1"/>
  <c r="C429"/>
  <c r="D429" s="1"/>
  <c r="C428"/>
  <c r="D428" s="1"/>
  <c r="C427"/>
  <c r="D427" s="1"/>
  <c r="C426"/>
  <c r="D426" s="1"/>
  <c r="C425"/>
  <c r="D425" s="1"/>
  <c r="C424"/>
  <c r="D424" s="1"/>
  <c r="C423"/>
  <c r="D423" s="1"/>
  <c r="C422"/>
  <c r="D422" s="1"/>
  <c r="C421"/>
  <c r="D421" s="1"/>
  <c r="C420"/>
  <c r="D420" s="1"/>
  <c r="C419"/>
  <c r="D419" s="1"/>
  <c r="C418"/>
  <c r="D418" s="1"/>
  <c r="C417"/>
  <c r="D417" s="1"/>
  <c r="C416"/>
  <c r="D416" s="1"/>
  <c r="C415"/>
  <c r="D415" s="1"/>
  <c r="C414"/>
  <c r="D414" s="1"/>
  <c r="C413"/>
  <c r="D413" s="1"/>
  <c r="C412"/>
  <c r="D412" s="1"/>
  <c r="C411"/>
  <c r="D411" s="1"/>
  <c r="C410"/>
  <c r="D410" s="1"/>
  <c r="C409"/>
  <c r="D409" s="1"/>
  <c r="C408"/>
  <c r="D408" s="1"/>
  <c r="C407"/>
  <c r="D407" s="1"/>
  <c r="C406"/>
  <c r="D406" s="1"/>
  <c r="C405"/>
  <c r="D405" s="1"/>
  <c r="C404"/>
  <c r="D404" s="1"/>
  <c r="C403"/>
  <c r="D403" s="1"/>
  <c r="C402"/>
  <c r="D402" s="1"/>
  <c r="C401"/>
  <c r="D401" s="1"/>
  <c r="C400"/>
  <c r="D400" s="1"/>
  <c r="C399"/>
  <c r="D399" s="1"/>
  <c r="C398"/>
  <c r="D398" s="1"/>
  <c r="C397"/>
  <c r="D397" s="1"/>
  <c r="C396"/>
  <c r="D396" s="1"/>
  <c r="C395"/>
  <c r="D395" s="1"/>
  <c r="C394"/>
  <c r="D394" s="1"/>
  <c r="C393"/>
  <c r="D393" s="1"/>
  <c r="C392"/>
  <c r="D392" s="1"/>
  <c r="C391"/>
  <c r="D391" s="1"/>
  <c r="C390"/>
  <c r="D390" s="1"/>
  <c r="C389"/>
  <c r="D389" s="1"/>
  <c r="C388"/>
  <c r="D388" s="1"/>
  <c r="C387"/>
  <c r="D387" s="1"/>
  <c r="C386"/>
  <c r="D386" s="1"/>
  <c r="C385"/>
  <c r="D385" s="1"/>
  <c r="C384"/>
  <c r="D384" s="1"/>
  <c r="C383"/>
  <c r="D383" s="1"/>
  <c r="C382"/>
  <c r="D382" s="1"/>
  <c r="C381"/>
  <c r="D381" s="1"/>
  <c r="C380"/>
  <c r="D380" s="1"/>
  <c r="C379"/>
  <c r="D379" s="1"/>
  <c r="C378"/>
  <c r="D378" s="1"/>
  <c r="C377"/>
  <c r="D377" s="1"/>
  <c r="C376"/>
  <c r="D376" s="1"/>
  <c r="C375"/>
  <c r="D375" s="1"/>
  <c r="C374"/>
  <c r="D374" s="1"/>
  <c r="C373"/>
  <c r="D373" s="1"/>
  <c r="C372"/>
  <c r="D372" s="1"/>
  <c r="C371"/>
  <c r="D371" s="1"/>
  <c r="C370"/>
  <c r="D370" s="1"/>
  <c r="C369"/>
  <c r="D369" s="1"/>
  <c r="C368"/>
  <c r="D368" s="1"/>
  <c r="C367"/>
  <c r="D367" s="1"/>
  <c r="C366"/>
  <c r="D366" s="1"/>
  <c r="C365"/>
  <c r="D365" s="1"/>
  <c r="C364"/>
  <c r="D364" s="1"/>
  <c r="C363"/>
  <c r="D363" s="1"/>
  <c r="C362"/>
  <c r="D362" s="1"/>
  <c r="C361"/>
  <c r="D361" s="1"/>
  <c r="C360"/>
  <c r="D360" s="1"/>
  <c r="C359"/>
  <c r="D359" s="1"/>
  <c r="C358"/>
  <c r="D358" s="1"/>
  <c r="C357"/>
  <c r="D357" s="1"/>
  <c r="C356"/>
  <c r="D356" s="1"/>
  <c r="C355"/>
  <c r="D355" s="1"/>
  <c r="C354"/>
  <c r="D354" s="1"/>
  <c r="C353"/>
  <c r="D353" s="1"/>
  <c r="C352"/>
  <c r="D352" s="1"/>
  <c r="C351"/>
  <c r="D351" s="1"/>
  <c r="C350"/>
  <c r="D350" s="1"/>
  <c r="C349"/>
  <c r="D349" s="1"/>
  <c r="C348"/>
  <c r="D348" s="1"/>
  <c r="C347"/>
  <c r="D347" s="1"/>
  <c r="C346"/>
  <c r="D346" s="1"/>
  <c r="C345"/>
  <c r="D345" s="1"/>
  <c r="C344"/>
  <c r="D344" s="1"/>
  <c r="C343"/>
  <c r="D343" s="1"/>
  <c r="C342"/>
  <c r="D342" s="1"/>
  <c r="C341"/>
  <c r="D341" s="1"/>
  <c r="C340"/>
  <c r="D340" s="1"/>
  <c r="C339"/>
  <c r="D339" s="1"/>
  <c r="C338"/>
  <c r="D338" s="1"/>
  <c r="C337"/>
  <c r="D337" s="1"/>
  <c r="C336"/>
  <c r="D336" s="1"/>
  <c r="C335"/>
  <c r="D335" s="1"/>
  <c r="C334"/>
  <c r="D334" s="1"/>
  <c r="C333"/>
  <c r="D333" s="1"/>
  <c r="C332"/>
  <c r="D332" s="1"/>
  <c r="C331"/>
  <c r="D331" s="1"/>
  <c r="C330"/>
  <c r="D330" s="1"/>
  <c r="C329"/>
  <c r="D329" s="1"/>
  <c r="C328"/>
  <c r="D328" s="1"/>
  <c r="C327"/>
  <c r="D327" s="1"/>
  <c r="C326"/>
  <c r="D326" s="1"/>
  <c r="C325"/>
  <c r="D325" s="1"/>
  <c r="C324"/>
  <c r="D324" s="1"/>
  <c r="C323"/>
  <c r="D323" s="1"/>
  <c r="C322"/>
  <c r="D322" s="1"/>
  <c r="C321"/>
  <c r="D321" s="1"/>
  <c r="C320"/>
  <c r="D320" s="1"/>
  <c r="C318"/>
  <c r="D318" s="1"/>
  <c r="C316"/>
  <c r="D316" s="1"/>
  <c r="C315"/>
  <c r="D315" s="1"/>
  <c r="C314"/>
  <c r="D314" s="1"/>
  <c r="C313"/>
  <c r="D313" s="1"/>
  <c r="C312"/>
  <c r="D312" s="1"/>
  <c r="C311"/>
  <c r="D311" s="1"/>
  <c r="C310"/>
  <c r="D310" s="1"/>
  <c r="C309"/>
  <c r="D309" s="1"/>
  <c r="C308"/>
  <c r="D308" s="1"/>
  <c r="C307"/>
  <c r="D307" s="1"/>
  <c r="C306"/>
  <c r="D306" s="1"/>
  <c r="C305"/>
  <c r="D305" s="1"/>
  <c r="C304"/>
  <c r="D304" s="1"/>
  <c r="C303"/>
  <c r="D303" s="1"/>
  <c r="C302"/>
  <c r="D302" s="1"/>
  <c r="C301"/>
  <c r="D301" s="1"/>
  <c r="C300"/>
  <c r="D300" s="1"/>
  <c r="C299"/>
  <c r="D299" s="1"/>
  <c r="C298"/>
  <c r="D298" s="1"/>
  <c r="C297"/>
  <c r="D297" s="1"/>
  <c r="C296"/>
  <c r="D296" s="1"/>
  <c r="C295"/>
  <c r="D295" s="1"/>
  <c r="C294"/>
  <c r="D294" s="1"/>
  <c r="C293"/>
  <c r="D293" s="1"/>
  <c r="C292"/>
  <c r="D292" s="1"/>
  <c r="C291"/>
  <c r="D291" s="1"/>
  <c r="C290"/>
  <c r="D290" s="1"/>
  <c r="C289"/>
  <c r="D289" s="1"/>
  <c r="C288"/>
  <c r="D288" s="1"/>
  <c r="C287"/>
  <c r="D287" s="1"/>
  <c r="C286"/>
  <c r="D286" s="1"/>
  <c r="C285"/>
  <c r="D285" s="1"/>
  <c r="C283"/>
  <c r="D283" s="1"/>
  <c r="C282"/>
  <c r="D282" s="1"/>
  <c r="C281"/>
  <c r="D281" s="1"/>
  <c r="C280"/>
  <c r="D280" s="1"/>
  <c r="C279"/>
  <c r="D279" s="1"/>
  <c r="C278"/>
  <c r="D278" s="1"/>
  <c r="C277"/>
  <c r="D277" s="1"/>
  <c r="C276"/>
  <c r="D276" s="1"/>
  <c r="C275"/>
  <c r="D275" s="1"/>
  <c r="C274"/>
  <c r="D274" s="1"/>
  <c r="C273"/>
  <c r="D273" s="1"/>
  <c r="C272"/>
  <c r="D272" s="1"/>
  <c r="C271"/>
  <c r="D271" s="1"/>
  <c r="C270"/>
  <c r="D270" s="1"/>
  <c r="C269"/>
  <c r="D269" s="1"/>
  <c r="C268"/>
  <c r="D268" s="1"/>
  <c r="C267"/>
  <c r="D267" s="1"/>
  <c r="C266"/>
  <c r="D266" s="1"/>
  <c r="C265"/>
  <c r="D265" s="1"/>
  <c r="C264"/>
  <c r="D264" s="1"/>
  <c r="C263"/>
  <c r="D263" s="1"/>
  <c r="C262"/>
  <c r="D262" s="1"/>
  <c r="C261"/>
  <c r="D261" s="1"/>
  <c r="C260"/>
  <c r="D260" s="1"/>
  <c r="C259"/>
  <c r="D259" s="1"/>
  <c r="C258"/>
  <c r="D258" s="1"/>
  <c r="C257"/>
  <c r="D257" s="1"/>
  <c r="C256"/>
  <c r="D256" s="1"/>
  <c r="C255"/>
  <c r="D255" s="1"/>
  <c r="C254"/>
  <c r="D254" s="1"/>
  <c r="C253"/>
  <c r="D253" s="1"/>
  <c r="C252"/>
  <c r="D252" s="1"/>
  <c r="C251"/>
  <c r="D251" s="1"/>
  <c r="C250"/>
  <c r="D250" s="1"/>
  <c r="C249"/>
  <c r="D249" s="1"/>
  <c r="C248"/>
  <c r="D248" s="1"/>
  <c r="C247"/>
  <c r="D247" s="1"/>
  <c r="C246"/>
  <c r="D246" s="1"/>
  <c r="C245"/>
  <c r="D245" s="1"/>
  <c r="C244"/>
  <c r="D244" s="1"/>
  <c r="C243"/>
  <c r="D243" s="1"/>
  <c r="C242"/>
  <c r="D242" s="1"/>
  <c r="C241"/>
  <c r="D241" s="1"/>
  <c r="C240"/>
  <c r="D240" s="1"/>
  <c r="C239"/>
  <c r="D239" s="1"/>
  <c r="C238"/>
  <c r="D238" s="1"/>
  <c r="C237"/>
  <c r="D237" s="1"/>
  <c r="C236"/>
  <c r="D236" s="1"/>
  <c r="C235"/>
  <c r="D235" s="1"/>
  <c r="C234"/>
  <c r="D234" s="1"/>
  <c r="C233"/>
  <c r="D233" s="1"/>
  <c r="C232"/>
  <c r="D232" s="1"/>
  <c r="C231"/>
  <c r="D231" s="1"/>
  <c r="C230"/>
  <c r="D230" s="1"/>
  <c r="C229"/>
  <c r="D229" s="1"/>
  <c r="C228"/>
  <c r="D228" s="1"/>
  <c r="C227"/>
  <c r="D227" s="1"/>
  <c r="C226"/>
  <c r="D226" s="1"/>
  <c r="C225"/>
  <c r="D225" s="1"/>
  <c r="C224"/>
  <c r="D224" s="1"/>
  <c r="C223"/>
  <c r="D223" s="1"/>
  <c r="C222"/>
  <c r="D222" s="1"/>
  <c r="C221"/>
  <c r="D221" s="1"/>
  <c r="C220"/>
  <c r="D220" s="1"/>
  <c r="C219"/>
  <c r="D219" s="1"/>
  <c r="C218"/>
  <c r="D218" s="1"/>
  <c r="C217"/>
  <c r="D217" s="1"/>
  <c r="C216"/>
  <c r="D216" s="1"/>
  <c r="C215"/>
  <c r="D215" s="1"/>
  <c r="C214"/>
  <c r="D214" s="1"/>
  <c r="C213"/>
  <c r="D213" s="1"/>
  <c r="C212"/>
  <c r="D212" s="1"/>
  <c r="C211"/>
  <c r="D211" s="1"/>
  <c r="C210"/>
  <c r="D210" s="1"/>
  <c r="C209"/>
  <c r="D209" s="1"/>
  <c r="C208"/>
  <c r="D208" s="1"/>
  <c r="C207"/>
  <c r="D207" s="1"/>
  <c r="C206"/>
  <c r="D206" s="1"/>
  <c r="C205"/>
  <c r="D205" s="1"/>
  <c r="C204"/>
  <c r="D204" s="1"/>
  <c r="C203"/>
  <c r="D203" s="1"/>
  <c r="C202"/>
  <c r="D202" s="1"/>
  <c r="C201"/>
  <c r="D201" s="1"/>
  <c r="C200"/>
  <c r="D200" s="1"/>
  <c r="C199"/>
  <c r="D199" s="1"/>
  <c r="C198"/>
  <c r="D198" s="1"/>
  <c r="C197"/>
  <c r="D197" s="1"/>
  <c r="C196"/>
  <c r="D196" s="1"/>
  <c r="C195"/>
  <c r="D195" s="1"/>
  <c r="C194"/>
  <c r="D194" s="1"/>
  <c r="C193"/>
  <c r="D193" s="1"/>
  <c r="C192"/>
  <c r="D192" s="1"/>
  <c r="C191"/>
  <c r="D191" s="1"/>
  <c r="C190"/>
  <c r="D190" s="1"/>
  <c r="C189"/>
  <c r="D189" s="1"/>
  <c r="C188"/>
  <c r="D188" s="1"/>
  <c r="C187"/>
  <c r="D187" s="1"/>
  <c r="C186"/>
  <c r="D186" s="1"/>
  <c r="C185"/>
  <c r="D185" s="1"/>
  <c r="C184"/>
  <c r="D184" s="1"/>
  <c r="C183"/>
  <c r="D183" s="1"/>
  <c r="C182"/>
  <c r="D182" s="1"/>
  <c r="C181"/>
  <c r="D181" s="1"/>
  <c r="C180"/>
  <c r="D180" s="1"/>
  <c r="C179"/>
  <c r="D179" s="1"/>
  <c r="C178"/>
  <c r="D178" s="1"/>
  <c r="C177"/>
  <c r="D177" s="1"/>
  <c r="C176"/>
  <c r="D176" s="1"/>
  <c r="C175"/>
  <c r="D175" s="1"/>
  <c r="C174"/>
  <c r="D174" s="1"/>
  <c r="C173"/>
  <c r="D173" s="1"/>
  <c r="C172"/>
  <c r="D172" s="1"/>
  <c r="C171"/>
  <c r="D171" s="1"/>
  <c r="C170"/>
  <c r="D170" s="1"/>
  <c r="C169"/>
  <c r="D169" s="1"/>
  <c r="C168"/>
  <c r="D168" s="1"/>
  <c r="C167"/>
  <c r="D167" s="1"/>
  <c r="C166"/>
  <c r="D166" s="1"/>
  <c r="C165"/>
  <c r="D165" s="1"/>
  <c r="C164"/>
  <c r="D164" s="1"/>
  <c r="C163"/>
  <c r="D163" s="1"/>
  <c r="C162"/>
  <c r="D162" s="1"/>
  <c r="C161"/>
  <c r="D161" s="1"/>
  <c r="C160"/>
  <c r="D160" s="1"/>
  <c r="C159"/>
  <c r="D159" s="1"/>
  <c r="C158"/>
  <c r="D158" s="1"/>
  <c r="C157"/>
  <c r="D157" s="1"/>
  <c r="C156"/>
  <c r="D156" s="1"/>
  <c r="C155"/>
  <c r="D155" s="1"/>
  <c r="C154"/>
  <c r="D154" s="1"/>
  <c r="C153"/>
  <c r="D153" s="1"/>
  <c r="C152"/>
  <c r="D152" s="1"/>
  <c r="C151"/>
  <c r="D151" s="1"/>
  <c r="C150"/>
  <c r="D150" s="1"/>
  <c r="C149"/>
  <c r="D149" s="1"/>
  <c r="C148"/>
  <c r="D148" s="1"/>
  <c r="C147"/>
  <c r="D147" s="1"/>
  <c r="C146"/>
  <c r="D146" s="1"/>
  <c r="C145"/>
  <c r="D145" s="1"/>
  <c r="C144"/>
  <c r="D144" s="1"/>
  <c r="C143"/>
  <c r="D143" s="1"/>
  <c r="C142"/>
  <c r="D142" s="1"/>
  <c r="C141"/>
  <c r="D141" s="1"/>
  <c r="C140"/>
  <c r="D140" s="1"/>
  <c r="C139"/>
  <c r="D139" s="1"/>
  <c r="C138"/>
  <c r="D138" s="1"/>
  <c r="C137"/>
  <c r="D137" s="1"/>
  <c r="C136"/>
  <c r="D136" s="1"/>
  <c r="C135"/>
  <c r="D135" s="1"/>
  <c r="C134"/>
  <c r="D134" s="1"/>
  <c r="C133"/>
  <c r="D133" s="1"/>
  <c r="C132"/>
  <c r="D132" s="1"/>
  <c r="C131"/>
  <c r="D131" s="1"/>
  <c r="C130"/>
  <c r="D130" s="1"/>
  <c r="C129"/>
  <c r="D129" s="1"/>
  <c r="C128"/>
  <c r="D128" s="1"/>
  <c r="C127"/>
  <c r="D127" s="1"/>
  <c r="C126"/>
  <c r="D126" s="1"/>
  <c r="C125"/>
  <c r="D125" s="1"/>
  <c r="C124"/>
  <c r="D124" s="1"/>
  <c r="C123"/>
  <c r="D123" s="1"/>
  <c r="C122"/>
  <c r="D122" s="1"/>
  <c r="C121"/>
  <c r="D121" s="1"/>
  <c r="C120"/>
  <c r="D120" s="1"/>
  <c r="C119"/>
  <c r="D119" s="1"/>
  <c r="C118"/>
  <c r="D118" s="1"/>
  <c r="C117"/>
  <c r="D117" s="1"/>
  <c r="C116"/>
  <c r="D116" s="1"/>
  <c r="C115"/>
  <c r="D115" s="1"/>
  <c r="C114"/>
  <c r="D114" s="1"/>
  <c r="C113"/>
  <c r="D113" s="1"/>
  <c r="C112"/>
  <c r="D112" s="1"/>
  <c r="C111"/>
  <c r="D111" s="1"/>
  <c r="C110"/>
  <c r="D110" s="1"/>
  <c r="C109"/>
  <c r="D109" s="1"/>
  <c r="C108"/>
  <c r="D108" s="1"/>
  <c r="C107"/>
  <c r="D107" s="1"/>
  <c r="C106"/>
  <c r="D106" s="1"/>
  <c r="C105"/>
  <c r="D105" s="1"/>
  <c r="C104"/>
  <c r="D104" s="1"/>
  <c r="C103"/>
  <c r="D103" s="1"/>
  <c r="C102"/>
  <c r="D102" s="1"/>
  <c r="C101"/>
  <c r="D101" s="1"/>
  <c r="C100"/>
  <c r="D100" s="1"/>
  <c r="C99"/>
  <c r="D99" s="1"/>
  <c r="C98"/>
  <c r="D98" s="1"/>
  <c r="C97"/>
  <c r="D97" s="1"/>
  <c r="C96"/>
  <c r="D96" s="1"/>
  <c r="C95"/>
  <c r="D95" s="1"/>
  <c r="C94"/>
  <c r="D94" s="1"/>
  <c r="C93"/>
  <c r="D93" s="1"/>
  <c r="C92"/>
  <c r="D92" s="1"/>
  <c r="C91"/>
  <c r="D91" s="1"/>
  <c r="C90"/>
  <c r="D90" s="1"/>
  <c r="C89"/>
  <c r="D89" s="1"/>
  <c r="C88"/>
  <c r="D88" s="1"/>
  <c r="C87"/>
  <c r="D87" s="1"/>
  <c r="C86"/>
  <c r="D86" s="1"/>
  <c r="C85"/>
  <c r="D85" s="1"/>
  <c r="C84"/>
  <c r="D84" s="1"/>
  <c r="C83"/>
  <c r="D83" s="1"/>
  <c r="C82"/>
  <c r="D82" s="1"/>
  <c r="C80"/>
  <c r="D80" s="1"/>
  <c r="C78"/>
  <c r="D78" s="1"/>
  <c r="C77"/>
  <c r="D77" s="1"/>
  <c r="C76"/>
  <c r="D76" s="1"/>
  <c r="C75"/>
  <c r="D75" s="1"/>
  <c r="C74"/>
  <c r="D74" s="1"/>
  <c r="C73"/>
  <c r="D73" s="1"/>
  <c r="C71"/>
  <c r="D71" s="1"/>
  <c r="C70"/>
  <c r="D70" s="1"/>
  <c r="C69"/>
  <c r="D69" s="1"/>
  <c r="C68"/>
  <c r="D68" s="1"/>
  <c r="C67"/>
  <c r="D67" s="1"/>
  <c r="C66"/>
  <c r="D66" s="1"/>
  <c r="C65"/>
  <c r="D65" s="1"/>
  <c r="C64"/>
  <c r="D64" s="1"/>
  <c r="C63"/>
  <c r="D63" s="1"/>
  <c r="C62"/>
  <c r="D62" s="1"/>
  <c r="C61"/>
  <c r="D61" s="1"/>
  <c r="C59"/>
  <c r="D59" s="1"/>
  <c r="C58"/>
  <c r="D58" s="1"/>
  <c r="C57"/>
  <c r="D57" s="1"/>
  <c r="C56"/>
  <c r="D56" s="1"/>
  <c r="C55"/>
  <c r="D55" s="1"/>
  <c r="C54"/>
  <c r="D54" s="1"/>
  <c r="C53"/>
  <c r="D53" s="1"/>
  <c r="C52"/>
  <c r="D52" s="1"/>
  <c r="C51"/>
  <c r="D51" s="1"/>
  <c r="C50"/>
  <c r="D50" s="1"/>
  <c r="C49"/>
  <c r="D49" s="1"/>
  <c r="C48"/>
  <c r="D48" s="1"/>
  <c r="C47"/>
  <c r="D47" s="1"/>
  <c r="C46"/>
  <c r="D46" s="1"/>
  <c r="C45"/>
  <c r="D45" s="1"/>
  <c r="C44"/>
  <c r="D44" s="1"/>
  <c r="C43"/>
  <c r="D43" s="1"/>
  <c r="C42"/>
  <c r="D42" s="1"/>
  <c r="C41"/>
  <c r="D41" s="1"/>
  <c r="C40"/>
  <c r="D40" s="1"/>
  <c r="C39"/>
  <c r="D39" s="1"/>
  <c r="C38"/>
  <c r="D38" s="1"/>
  <c r="C37"/>
  <c r="D37" s="1"/>
  <c r="C36"/>
  <c r="D36" s="1"/>
  <c r="C35"/>
  <c r="D35" s="1"/>
  <c r="C34"/>
  <c r="D34" s="1"/>
  <c r="C33"/>
  <c r="D33" s="1"/>
  <c r="C32"/>
  <c r="D32" s="1"/>
  <c r="C31"/>
  <c r="D31" s="1"/>
  <c r="C30"/>
  <c r="D30" s="1"/>
  <c r="C29"/>
  <c r="D29" s="1"/>
  <c r="C28"/>
  <c r="D28" s="1"/>
  <c r="C27"/>
  <c r="D27" s="1"/>
  <c r="C26"/>
  <c r="D26" s="1"/>
  <c r="C25"/>
  <c r="D25" s="1"/>
  <c r="C24"/>
  <c r="D24" s="1"/>
  <c r="C23"/>
  <c r="D23" s="1"/>
  <c r="C22"/>
  <c r="D22" s="1"/>
  <c r="C21"/>
  <c r="D21" s="1"/>
  <c r="C20"/>
  <c r="D20" s="1"/>
  <c r="C19"/>
  <c r="D19" s="1"/>
  <c r="C18"/>
  <c r="D18" s="1"/>
  <c r="C17"/>
  <c r="D17" s="1"/>
  <c r="C16"/>
  <c r="D16" s="1"/>
  <c r="C15"/>
  <c r="D15" s="1"/>
  <c r="C14"/>
  <c r="D14" s="1"/>
  <c r="C13"/>
  <c r="D13" s="1"/>
  <c r="C12"/>
  <c r="D12" s="1"/>
  <c r="C11"/>
  <c r="D11" s="1"/>
  <c r="C10"/>
  <c r="D10" s="1"/>
  <c r="C9"/>
  <c r="D9" s="1"/>
  <c r="C8"/>
  <c r="D8" s="1"/>
  <c r="C7"/>
  <c r="D7" s="1"/>
  <c r="C6"/>
  <c r="D6" s="1"/>
  <c r="C5"/>
  <c r="D5" s="1"/>
  <c r="C4"/>
  <c r="D4" s="1"/>
  <c r="C3"/>
  <c r="D3" s="1"/>
  <c r="C81"/>
  <c r="D81" s="1"/>
  <c r="C72"/>
  <c r="D72" s="1"/>
  <c r="C60"/>
  <c r="D60" s="1"/>
  <c r="C79"/>
  <c r="D79" s="1"/>
  <c r="C2" l="1"/>
  <c r="D2" s="1"/>
  <c r="D502" l="1"/>
  <c r="E317" l="1"/>
  <c r="E502"/>
  <c r="E284"/>
  <c r="E319"/>
  <c r="E54"/>
  <c r="E118"/>
  <c r="E182"/>
  <c r="E12"/>
  <c r="E79"/>
  <c r="E15"/>
  <c r="E31"/>
  <c r="E47"/>
  <c r="E64"/>
  <c r="E83"/>
  <c r="E99"/>
  <c r="E115"/>
  <c r="E131"/>
  <c r="E147"/>
  <c r="E163"/>
  <c r="E179"/>
  <c r="E195"/>
  <c r="E211"/>
  <c r="E227"/>
  <c r="E243"/>
  <c r="E259"/>
  <c r="E275"/>
  <c r="E292"/>
  <c r="E308"/>
  <c r="E326"/>
  <c r="E342"/>
  <c r="E358"/>
  <c r="E374"/>
  <c r="E390"/>
  <c r="E406"/>
  <c r="E422"/>
  <c r="E438"/>
  <c r="E454"/>
  <c r="E470"/>
  <c r="E486"/>
  <c r="E14"/>
  <c r="E82"/>
  <c r="E146"/>
  <c r="E206"/>
  <c r="E246"/>
  <c r="E266"/>
  <c r="E282"/>
  <c r="E299"/>
  <c r="E315"/>
  <c r="E333"/>
  <c r="E349"/>
  <c r="E365"/>
  <c r="E381"/>
  <c r="E397"/>
  <c r="E413"/>
  <c r="E429"/>
  <c r="E445"/>
  <c r="E461"/>
  <c r="E477"/>
  <c r="E493"/>
  <c r="E22"/>
  <c r="E90"/>
  <c r="E154"/>
  <c r="E218"/>
  <c r="E254"/>
  <c r="E13"/>
  <c r="E29"/>
  <c r="E45"/>
  <c r="E62"/>
  <c r="E80"/>
  <c r="E97"/>
  <c r="E113"/>
  <c r="E129"/>
  <c r="E145"/>
  <c r="E161"/>
  <c r="E177"/>
  <c r="E193"/>
  <c r="E209"/>
  <c r="E225"/>
  <c r="E241"/>
  <c r="E257"/>
  <c r="E273"/>
  <c r="E290"/>
  <c r="E306"/>
  <c r="E324"/>
  <c r="E340"/>
  <c r="E356"/>
  <c r="E372"/>
  <c r="E388"/>
  <c r="E404"/>
  <c r="E420"/>
  <c r="E436"/>
  <c r="E452"/>
  <c r="E468"/>
  <c r="E484"/>
  <c r="E500"/>
  <c r="E58"/>
  <c r="E126"/>
  <c r="E190"/>
  <c r="E16"/>
  <c r="E44"/>
  <c r="E61"/>
  <c r="E78"/>
  <c r="E96"/>
  <c r="E112"/>
  <c r="E128"/>
  <c r="E144"/>
  <c r="E160"/>
  <c r="E176"/>
  <c r="E192"/>
  <c r="E208"/>
  <c r="E224"/>
  <c r="E240"/>
  <c r="E256"/>
  <c r="E272"/>
  <c r="E289"/>
  <c r="E305"/>
  <c r="E323"/>
  <c r="E339"/>
  <c r="E355"/>
  <c r="E371"/>
  <c r="E387"/>
  <c r="E403"/>
  <c r="E419"/>
  <c r="E435"/>
  <c r="E451"/>
  <c r="E467"/>
  <c r="E483"/>
  <c r="E499"/>
  <c r="E34"/>
  <c r="E102"/>
  <c r="E166"/>
  <c r="E4"/>
  <c r="E32"/>
  <c r="E11"/>
  <c r="E27"/>
  <c r="E43"/>
  <c r="E59"/>
  <c r="E77"/>
  <c r="E95"/>
  <c r="E111"/>
  <c r="E127"/>
  <c r="E143"/>
  <c r="E159"/>
  <c r="E175"/>
  <c r="E191"/>
  <c r="E207"/>
  <c r="E223"/>
  <c r="E239"/>
  <c r="E255"/>
  <c r="E271"/>
  <c r="E288"/>
  <c r="E304"/>
  <c r="E322"/>
  <c r="E338"/>
  <c r="E354"/>
  <c r="E370"/>
  <c r="E386"/>
  <c r="E402"/>
  <c r="E418"/>
  <c r="E434"/>
  <c r="E450"/>
  <c r="E466"/>
  <c r="E482"/>
  <c r="E498"/>
  <c r="E63"/>
  <c r="E130"/>
  <c r="E194"/>
  <c r="E238"/>
  <c r="E262"/>
  <c r="E278"/>
  <c r="E295"/>
  <c r="E311"/>
  <c r="E329"/>
  <c r="E345"/>
  <c r="E361"/>
  <c r="E377"/>
  <c r="E393"/>
  <c r="E409"/>
  <c r="E425"/>
  <c r="E441"/>
  <c r="E457"/>
  <c r="E473"/>
  <c r="E489"/>
  <c r="E81"/>
  <c r="E71"/>
  <c r="E138"/>
  <c r="E202"/>
  <c r="E242"/>
  <c r="E9"/>
  <c r="E25"/>
  <c r="E41"/>
  <c r="E57"/>
  <c r="E75"/>
  <c r="E93"/>
  <c r="E109"/>
  <c r="E125"/>
  <c r="E141"/>
  <c r="E157"/>
  <c r="E173"/>
  <c r="E189"/>
  <c r="E205"/>
  <c r="E221"/>
  <c r="E237"/>
  <c r="E253"/>
  <c r="E269"/>
  <c r="E286"/>
  <c r="E302"/>
  <c r="E320"/>
  <c r="E336"/>
  <c r="E352"/>
  <c r="E368"/>
  <c r="E384"/>
  <c r="E400"/>
  <c r="E416"/>
  <c r="E432"/>
  <c r="E448"/>
  <c r="E464"/>
  <c r="E480"/>
  <c r="E496"/>
  <c r="E42"/>
  <c r="E110"/>
  <c r="E174"/>
  <c r="E8"/>
  <c r="E40"/>
  <c r="E56"/>
  <c r="E74"/>
  <c r="E92"/>
  <c r="E108"/>
  <c r="E124"/>
  <c r="E140"/>
  <c r="E156"/>
  <c r="E172"/>
  <c r="E188"/>
  <c r="E204"/>
  <c r="E220"/>
  <c r="E236"/>
  <c r="E252"/>
  <c r="E268"/>
  <c r="E285"/>
  <c r="E301"/>
  <c r="E318"/>
  <c r="E335"/>
  <c r="E351"/>
  <c r="E367"/>
  <c r="E383"/>
  <c r="E399"/>
  <c r="E415"/>
  <c r="E431"/>
  <c r="E447"/>
  <c r="E463"/>
  <c r="E479"/>
  <c r="E495"/>
  <c r="E18"/>
  <c r="E86"/>
  <c r="E150"/>
  <c r="E214"/>
  <c r="E24"/>
  <c r="E7"/>
  <c r="E23"/>
  <c r="E39"/>
  <c r="E55"/>
  <c r="E73"/>
  <c r="E91"/>
  <c r="E107"/>
  <c r="E123"/>
  <c r="E139"/>
  <c r="E155"/>
  <c r="E171"/>
  <c r="E187"/>
  <c r="E203"/>
  <c r="E219"/>
  <c r="E235"/>
  <c r="E251"/>
  <c r="E267"/>
  <c r="E283"/>
  <c r="E300"/>
  <c r="E316"/>
  <c r="E334"/>
  <c r="E350"/>
  <c r="E366"/>
  <c r="E382"/>
  <c r="E398"/>
  <c r="E414"/>
  <c r="E430"/>
  <c r="E446"/>
  <c r="E462"/>
  <c r="E478"/>
  <c r="E494"/>
  <c r="E46"/>
  <c r="E114"/>
  <c r="E178"/>
  <c r="E230"/>
  <c r="E258"/>
  <c r="E274"/>
  <c r="E291"/>
  <c r="E307"/>
  <c r="E325"/>
  <c r="E341"/>
  <c r="E357"/>
  <c r="E373"/>
  <c r="E389"/>
  <c r="E405"/>
  <c r="E421"/>
  <c r="E437"/>
  <c r="E453"/>
  <c r="E469"/>
  <c r="E485"/>
  <c r="E501"/>
  <c r="E50"/>
  <c r="E122"/>
  <c r="E186"/>
  <c r="E234"/>
  <c r="E5"/>
  <c r="E21"/>
  <c r="E37"/>
  <c r="E53"/>
  <c r="E70"/>
  <c r="E89"/>
  <c r="E105"/>
  <c r="E121"/>
  <c r="E137"/>
  <c r="E153"/>
  <c r="E169"/>
  <c r="E185"/>
  <c r="E201"/>
  <c r="E217"/>
  <c r="E233"/>
  <c r="E249"/>
  <c r="E265"/>
  <c r="E281"/>
  <c r="E298"/>
  <c r="E314"/>
  <c r="E332"/>
  <c r="E348"/>
  <c r="E364"/>
  <c r="E380"/>
  <c r="E396"/>
  <c r="E412"/>
  <c r="E428"/>
  <c r="E444"/>
  <c r="E460"/>
  <c r="E476"/>
  <c r="E492"/>
  <c r="E26"/>
  <c r="E94"/>
  <c r="E158"/>
  <c r="E60"/>
  <c r="E36"/>
  <c r="E52"/>
  <c r="E69"/>
  <c r="E88"/>
  <c r="E104"/>
  <c r="E120"/>
  <c r="E136"/>
  <c r="E152"/>
  <c r="E168"/>
  <c r="E184"/>
  <c r="E200"/>
  <c r="E216"/>
  <c r="E232"/>
  <c r="E248"/>
  <c r="E264"/>
  <c r="E280"/>
  <c r="E297"/>
  <c r="E313"/>
  <c r="E331"/>
  <c r="E347"/>
  <c r="E363"/>
  <c r="E379"/>
  <c r="E395"/>
  <c r="E411"/>
  <c r="E427"/>
  <c r="E443"/>
  <c r="E459"/>
  <c r="E475"/>
  <c r="E491"/>
  <c r="E6"/>
  <c r="E67"/>
  <c r="E134"/>
  <c r="E198"/>
  <c r="E20"/>
  <c r="E3"/>
  <c r="E19"/>
  <c r="E35"/>
  <c r="E51"/>
  <c r="E68"/>
  <c r="E87"/>
  <c r="E103"/>
  <c r="E119"/>
  <c r="E135"/>
  <c r="E151"/>
  <c r="E167"/>
  <c r="E183"/>
  <c r="E199"/>
  <c r="E215"/>
  <c r="E231"/>
  <c r="E247"/>
  <c r="E263"/>
  <c r="E279"/>
  <c r="E296"/>
  <c r="E312"/>
  <c r="E330"/>
  <c r="E346"/>
  <c r="E362"/>
  <c r="E378"/>
  <c r="E394"/>
  <c r="E410"/>
  <c r="E426"/>
  <c r="E442"/>
  <c r="E458"/>
  <c r="E474"/>
  <c r="E490"/>
  <c r="E30"/>
  <c r="E98"/>
  <c r="E162"/>
  <c r="E222"/>
  <c r="E250"/>
  <c r="E270"/>
  <c r="E287"/>
  <c r="E303"/>
  <c r="E321"/>
  <c r="E337"/>
  <c r="E353"/>
  <c r="E369"/>
  <c r="E385"/>
  <c r="E401"/>
  <c r="E417"/>
  <c r="E433"/>
  <c r="E449"/>
  <c r="E465"/>
  <c r="E481"/>
  <c r="E497"/>
  <c r="E38"/>
  <c r="E106"/>
  <c r="E170"/>
  <c r="E226"/>
  <c r="E72"/>
  <c r="E17"/>
  <c r="E33"/>
  <c r="E49"/>
  <c r="E66"/>
  <c r="E85"/>
  <c r="E101"/>
  <c r="E117"/>
  <c r="E133"/>
  <c r="E149"/>
  <c r="E165"/>
  <c r="E181"/>
  <c r="E197"/>
  <c r="E213"/>
  <c r="E229"/>
  <c r="E245"/>
  <c r="E261"/>
  <c r="E277"/>
  <c r="E294"/>
  <c r="E310"/>
  <c r="E328"/>
  <c r="E344"/>
  <c r="E360"/>
  <c r="E376"/>
  <c r="E392"/>
  <c r="E408"/>
  <c r="E424"/>
  <c r="E440"/>
  <c r="E456"/>
  <c r="E472"/>
  <c r="E488"/>
  <c r="E10"/>
  <c r="E76"/>
  <c r="E142"/>
  <c r="E210"/>
  <c r="E28"/>
  <c r="E48"/>
  <c r="E65"/>
  <c r="E84"/>
  <c r="E100"/>
  <c r="E116"/>
  <c r="E132"/>
  <c r="E148"/>
  <c r="E164"/>
  <c r="E180"/>
  <c r="E196"/>
  <c r="E212"/>
  <c r="E228"/>
  <c r="E244"/>
  <c r="E260"/>
  <c r="E276"/>
  <c r="E293"/>
  <c r="E309"/>
  <c r="E327"/>
  <c r="E343"/>
  <c r="E359"/>
  <c r="E375"/>
  <c r="E391"/>
  <c r="E407"/>
  <c r="E423"/>
  <c r="E439"/>
  <c r="E455"/>
  <c r="E471"/>
  <c r="E487"/>
  <c r="E2"/>
</calcChain>
</file>

<file path=xl/sharedStrings.xml><?xml version="1.0" encoding="utf-8"?>
<sst xmlns="http://schemas.openxmlformats.org/spreadsheetml/2006/main" count="1094" uniqueCount="1089">
  <si>
    <t>EBITDA</t>
  </si>
  <si>
    <t>PEG</t>
  </si>
  <si>
    <t>AAPL</t>
  </si>
  <si>
    <t>AMZN</t>
  </si>
  <si>
    <t>GOOG</t>
  </si>
  <si>
    <t>BAC</t>
  </si>
  <si>
    <t>PERatio</t>
  </si>
  <si>
    <t>PEGRatio</t>
  </si>
  <si>
    <t>MarketCapitalization</t>
  </si>
  <si>
    <t>LastTradePriceOnly</t>
  </si>
  <si>
    <t>Usage:</t>
  </si>
  <si>
    <t>Example:</t>
  </si>
  <si>
    <t>Symbol</t>
  </si>
  <si>
    <t>YahooIdentifier</t>
  </si>
  <si>
    <t>Symbol:</t>
  </si>
  <si>
    <t>YahooIdentifier:</t>
  </si>
  <si>
    <t>MSFT</t>
  </si>
  <si>
    <t>=GetYahoo(C3, C4)</t>
  </si>
  <si>
    <t>Ask</t>
  </si>
  <si>
    <t>AverageDailyVolume</t>
  </si>
  <si>
    <t>Bid</t>
  </si>
  <si>
    <t>AskRealtime</t>
  </si>
  <si>
    <t>BidRealtime</t>
  </si>
  <si>
    <t>BookValue</t>
  </si>
  <si>
    <t>Change_PercentChange</t>
  </si>
  <si>
    <t>Change</t>
  </si>
  <si>
    <t>Commission</t>
  </si>
  <si>
    <t>ChangeRealtime</t>
  </si>
  <si>
    <t>AfterHoursChangeRealtime</t>
  </si>
  <si>
    <t>DividendShare</t>
  </si>
  <si>
    <t>LastTradeDate</t>
  </si>
  <si>
    <t>TradeDate</t>
  </si>
  <si>
    <t>EarningsShare</t>
  </si>
  <si>
    <t>ErrorIndicationreturnedforsymbolchangedinvalid</t>
  </si>
  <si>
    <t>EPSEstimateCurrentYear</t>
  </si>
  <si>
    <t>EPSEstimateNextYear</t>
  </si>
  <si>
    <t>EPSEstimateNextQuarter</t>
  </si>
  <si>
    <t>DaysLow</t>
  </si>
  <si>
    <t>DaysHigh</t>
  </si>
  <si>
    <t>YearLow</t>
  </si>
  <si>
    <t>YearHigh</t>
  </si>
  <si>
    <t>HoldingsGainPercent</t>
  </si>
  <si>
    <t>AnnualizedGain</t>
  </si>
  <si>
    <t>HoldingsGain</t>
  </si>
  <si>
    <t>HoldingsGainPercentRealtime</t>
  </si>
  <si>
    <t>HoldingsGainRealtime</t>
  </si>
  <si>
    <t>MoreInfo</t>
  </si>
  <si>
    <t>OrderBookRealtime</t>
  </si>
  <si>
    <t>MarketCapRealtime</t>
  </si>
  <si>
    <t>ChangeFromYearLow</t>
  </si>
  <si>
    <t>PercentChangeFromYearLow</t>
  </si>
  <si>
    <t>LastTradeRealtimeWithTime</t>
  </si>
  <si>
    <t>ChangePercentRealtime</t>
  </si>
  <si>
    <t>ChangeFromYearHigh</t>
  </si>
  <si>
    <t>PercebtChangeFromYearHigh</t>
  </si>
  <si>
    <t>LastTradeWithTime</t>
  </si>
  <si>
    <t>HighLimit</t>
  </si>
  <si>
    <t>LowLimit</t>
  </si>
  <si>
    <t>DaysRange</t>
  </si>
  <si>
    <t>DaysRangeRealtime</t>
  </si>
  <si>
    <t>FiftydayMovingAverage</t>
  </si>
  <si>
    <t>TwoHundreddayMovingAverage</t>
  </si>
  <si>
    <t>ChangeFromTwoHundreddayMovingAverage</t>
  </si>
  <si>
    <t>PercentChangeFromTwoHundreddayMovingAverage</t>
  </si>
  <si>
    <t>ChangeFromFiftydayMovingAverage</t>
  </si>
  <si>
    <t>PercentChangeFromFiftydayMovingAverage</t>
  </si>
  <si>
    <t>Name</t>
  </si>
  <si>
    <t>Notes</t>
  </si>
  <si>
    <t>Open</t>
  </si>
  <si>
    <t>PreviousClose</t>
  </si>
  <si>
    <t>PricePaid</t>
  </si>
  <si>
    <t>ChangeinPercent</t>
  </si>
  <si>
    <t>PriceSales</t>
  </si>
  <si>
    <t>PriceBook</t>
  </si>
  <si>
    <t>ExDividendDate</t>
  </si>
  <si>
    <t>DividendPayDate</t>
  </si>
  <si>
    <t>PERatioRealtime</t>
  </si>
  <si>
    <t>PriceEPSEstimateCurrentYear</t>
  </si>
  <si>
    <t>PriceEPSEstimateNextYear</t>
  </si>
  <si>
    <t>SharesOwned</t>
  </si>
  <si>
    <t>ShortRatio</t>
  </si>
  <si>
    <t>LastTradeTime</t>
  </si>
  <si>
    <t>TickerTrend</t>
  </si>
  <si>
    <t>OneyrTargetPrice</t>
  </si>
  <si>
    <t>Volume</t>
  </si>
  <si>
    <t>HoldingsValue</t>
  </si>
  <si>
    <t>HoldingsValueRealtime</t>
  </si>
  <si>
    <t>YearRange</t>
  </si>
  <si>
    <t>DaysValueChange</t>
  </si>
  <si>
    <t>DaysValueChangeRealtime</t>
  </si>
  <si>
    <t>StockExchange</t>
  </si>
  <si>
    <t>DividendYield</t>
  </si>
  <si>
    <t>PercentChange</t>
  </si>
  <si>
    <t>=GetYahoo("MSFT", "Change")</t>
  </si>
  <si>
    <t>=GetYahoo(Symbol as String, YahooIdentifier as String)</t>
  </si>
  <si>
    <t>MMM</t>
  </si>
  <si>
    <t>ACE</t>
  </si>
  <si>
    <t>ABT</t>
  </si>
  <si>
    <t>ANF</t>
  </si>
  <si>
    <t>ADBE</t>
  </si>
  <si>
    <t>AMD</t>
  </si>
  <si>
    <t>AES</t>
  </si>
  <si>
    <t>AET</t>
  </si>
  <si>
    <t>AFL</t>
  </si>
  <si>
    <t>A</t>
  </si>
  <si>
    <t>APD</t>
  </si>
  <si>
    <t>ARG</t>
  </si>
  <si>
    <t>AKS</t>
  </si>
  <si>
    <t>AKAM</t>
  </si>
  <si>
    <t>AA</t>
  </si>
  <si>
    <t>ATI</t>
  </si>
  <si>
    <t>AGN</t>
  </si>
  <si>
    <t>ALL</t>
  </si>
  <si>
    <t>ALTR</t>
  </si>
  <si>
    <t>MO</t>
  </si>
  <si>
    <t>AEE</t>
  </si>
  <si>
    <t>AEP</t>
  </si>
  <si>
    <t>AXP</t>
  </si>
  <si>
    <t>AIG</t>
  </si>
  <si>
    <t>AMT</t>
  </si>
  <si>
    <t>AMP</t>
  </si>
  <si>
    <t>ABC</t>
  </si>
  <si>
    <t>AMGN</t>
  </si>
  <si>
    <t>APH</t>
  </si>
  <si>
    <t>APC</t>
  </si>
  <si>
    <t>ADI</t>
  </si>
  <si>
    <t>AON</t>
  </si>
  <si>
    <t>APA</t>
  </si>
  <si>
    <t>AIV</t>
  </si>
  <si>
    <t>APOL</t>
  </si>
  <si>
    <t>AMAT</t>
  </si>
  <si>
    <t>ADM</t>
  </si>
  <si>
    <t>AIZ</t>
  </si>
  <si>
    <t>T</t>
  </si>
  <si>
    <t>ADSK</t>
  </si>
  <si>
    <t>ADP</t>
  </si>
  <si>
    <t>AN</t>
  </si>
  <si>
    <t>AZO</t>
  </si>
  <si>
    <t>AVB</t>
  </si>
  <si>
    <t>AVY</t>
  </si>
  <si>
    <t>AVP</t>
  </si>
  <si>
    <t>BHI</t>
  </si>
  <si>
    <t>BLL</t>
  </si>
  <si>
    <t>BK</t>
  </si>
  <si>
    <t>BCR</t>
  </si>
  <si>
    <t>BAX</t>
  </si>
  <si>
    <t>BBT</t>
  </si>
  <si>
    <t>BDX</t>
  </si>
  <si>
    <t>BBBY</t>
  </si>
  <si>
    <t>BMS</t>
  </si>
  <si>
    <t>BBY</t>
  </si>
  <si>
    <t>BIG</t>
  </si>
  <si>
    <t>BIIB</t>
  </si>
  <si>
    <t>BLK</t>
  </si>
  <si>
    <t>HRB</t>
  </si>
  <si>
    <t>BMC</t>
  </si>
  <si>
    <t>BA</t>
  </si>
  <si>
    <t>BXP</t>
  </si>
  <si>
    <t>BSX</t>
  </si>
  <si>
    <t>BMY</t>
  </si>
  <si>
    <t>BRCM</t>
  </si>
  <si>
    <t>CHRW</t>
  </si>
  <si>
    <t>CA</t>
  </si>
  <si>
    <t>CVC</t>
  </si>
  <si>
    <t>COG</t>
  </si>
  <si>
    <t>CAM</t>
  </si>
  <si>
    <t>CPB</t>
  </si>
  <si>
    <t>COF</t>
  </si>
  <si>
    <t>CAH</t>
  </si>
  <si>
    <t>CFN</t>
  </si>
  <si>
    <t>KMX</t>
  </si>
  <si>
    <t>CCL</t>
  </si>
  <si>
    <t>CAT</t>
  </si>
  <si>
    <t>CBG</t>
  </si>
  <si>
    <t>CBS</t>
  </si>
  <si>
    <t>CELG</t>
  </si>
  <si>
    <t>CNP</t>
  </si>
  <si>
    <t>CTL</t>
  </si>
  <si>
    <t>CEPH</t>
  </si>
  <si>
    <t>CERN</t>
  </si>
  <si>
    <t>CF</t>
  </si>
  <si>
    <t>SCHW</t>
  </si>
  <si>
    <t>CHK</t>
  </si>
  <si>
    <t>CVX</t>
  </si>
  <si>
    <t>CB</t>
  </si>
  <si>
    <t>CI</t>
  </si>
  <si>
    <t>CINF</t>
  </si>
  <si>
    <t>CTAS</t>
  </si>
  <si>
    <t>CSCO</t>
  </si>
  <si>
    <t>C</t>
  </si>
  <si>
    <t>CTXS</t>
  </si>
  <si>
    <t>CLF</t>
  </si>
  <si>
    <t>CLX</t>
  </si>
  <si>
    <t>CME</t>
  </si>
  <si>
    <t>CMS</t>
  </si>
  <si>
    <t>COH</t>
  </si>
  <si>
    <t>KO</t>
  </si>
  <si>
    <t>CCE</t>
  </si>
  <si>
    <t>CTSH</t>
  </si>
  <si>
    <t>CL</t>
  </si>
  <si>
    <t>CMCSA</t>
  </si>
  <si>
    <t>CMA</t>
  </si>
  <si>
    <t>CSC</t>
  </si>
  <si>
    <t>CPWR</t>
  </si>
  <si>
    <t>CAG</t>
  </si>
  <si>
    <t>COP</t>
  </si>
  <si>
    <t>CNX</t>
  </si>
  <si>
    <t>ED</t>
  </si>
  <si>
    <t>STZ</t>
  </si>
  <si>
    <t>CEG</t>
  </si>
  <si>
    <t>GLW</t>
  </si>
  <si>
    <t>COST</t>
  </si>
  <si>
    <t>CVH</t>
  </si>
  <si>
    <t>COV</t>
  </si>
  <si>
    <t>CSX</t>
  </si>
  <si>
    <t>CMI</t>
  </si>
  <si>
    <t>CVS</t>
  </si>
  <si>
    <t>DHI</t>
  </si>
  <si>
    <t>DHR</t>
  </si>
  <si>
    <t>DRI</t>
  </si>
  <si>
    <t>DVA</t>
  </si>
  <si>
    <t>DF</t>
  </si>
  <si>
    <t>DE</t>
  </si>
  <si>
    <t>DELL</t>
  </si>
  <si>
    <t>DNR</t>
  </si>
  <si>
    <t>XRAY</t>
  </si>
  <si>
    <t>DVN</t>
  </si>
  <si>
    <t>DV</t>
  </si>
  <si>
    <t>DO</t>
  </si>
  <si>
    <t>DTV</t>
  </si>
  <si>
    <t>DFS</t>
  </si>
  <si>
    <t>DISCA</t>
  </si>
  <si>
    <t>D</t>
  </si>
  <si>
    <t>RRD</t>
  </si>
  <si>
    <t>DOV</t>
  </si>
  <si>
    <t>DOW</t>
  </si>
  <si>
    <t>DPS</t>
  </si>
  <si>
    <t>DTE</t>
  </si>
  <si>
    <t>DD</t>
  </si>
  <si>
    <t>DUK</t>
  </si>
  <si>
    <t>DNB</t>
  </si>
  <si>
    <t>ETFC</t>
  </si>
  <si>
    <t>EMN</t>
  </si>
  <si>
    <t>ETN</t>
  </si>
  <si>
    <t>EBAY</t>
  </si>
  <si>
    <t>ECL</t>
  </si>
  <si>
    <t>EIX</t>
  </si>
  <si>
    <t>EW</t>
  </si>
  <si>
    <t>EP</t>
  </si>
  <si>
    <t>ERTS</t>
  </si>
  <si>
    <t>EMC</t>
  </si>
  <si>
    <t>EMR</t>
  </si>
  <si>
    <t>ETR</t>
  </si>
  <si>
    <t>EOG</t>
  </si>
  <si>
    <t>EQT</t>
  </si>
  <si>
    <t>EFX</t>
  </si>
  <si>
    <t>EQR</t>
  </si>
  <si>
    <t>EL</t>
  </si>
  <si>
    <t>EXC</t>
  </si>
  <si>
    <t>EXPE</t>
  </si>
  <si>
    <t>EXPD</t>
  </si>
  <si>
    <t>ESRX</t>
  </si>
  <si>
    <t>XOM</t>
  </si>
  <si>
    <t>FFIV</t>
  </si>
  <si>
    <t>FDO</t>
  </si>
  <si>
    <t>FAST</t>
  </si>
  <si>
    <t>FII</t>
  </si>
  <si>
    <t>FDX</t>
  </si>
  <si>
    <t>FIS</t>
  </si>
  <si>
    <t>FITB</t>
  </si>
  <si>
    <t>FHN</t>
  </si>
  <si>
    <t>FSLR</t>
  </si>
  <si>
    <t>FE</t>
  </si>
  <si>
    <t>FISV</t>
  </si>
  <si>
    <t>FLIR</t>
  </si>
  <si>
    <t>FLS</t>
  </si>
  <si>
    <t>FLR</t>
  </si>
  <si>
    <t>FMC</t>
  </si>
  <si>
    <t>FTI</t>
  </si>
  <si>
    <t>F</t>
  </si>
  <si>
    <t>FRX</t>
  </si>
  <si>
    <t>FO</t>
  </si>
  <si>
    <t>BEN</t>
  </si>
  <si>
    <t>FCX</t>
  </si>
  <si>
    <t>FTR</t>
  </si>
  <si>
    <t>GME</t>
  </si>
  <si>
    <t>GCI</t>
  </si>
  <si>
    <t>GPS</t>
  </si>
  <si>
    <t>GD</t>
  </si>
  <si>
    <t>GE</t>
  </si>
  <si>
    <t>GIS</t>
  </si>
  <si>
    <t>GPC</t>
  </si>
  <si>
    <t>GNW</t>
  </si>
  <si>
    <t>GILD</t>
  </si>
  <si>
    <t>GS</t>
  </si>
  <si>
    <t>GR</t>
  </si>
  <si>
    <t>GT</t>
  </si>
  <si>
    <t>GWW</t>
  </si>
  <si>
    <t>HAL</t>
  </si>
  <si>
    <t>HOG</t>
  </si>
  <si>
    <t>HAR</t>
  </si>
  <si>
    <t>HRS</t>
  </si>
  <si>
    <t>HIG</t>
  </si>
  <si>
    <t>HAS</t>
  </si>
  <si>
    <t>HCP</t>
  </si>
  <si>
    <t>HCN</t>
  </si>
  <si>
    <t>HNZ</t>
  </si>
  <si>
    <t>HP</t>
  </si>
  <si>
    <t>HES</t>
  </si>
  <si>
    <t>HPQ</t>
  </si>
  <si>
    <t>HD</t>
  </si>
  <si>
    <t>HON</t>
  </si>
  <si>
    <t>HRL</t>
  </si>
  <si>
    <t>HSP</t>
  </si>
  <si>
    <t>HST</t>
  </si>
  <si>
    <t>HCBK</t>
  </si>
  <si>
    <t>HUM</t>
  </si>
  <si>
    <t>HBAN</t>
  </si>
  <si>
    <t>ITW</t>
  </si>
  <si>
    <t>TEG</t>
  </si>
  <si>
    <t>INTC</t>
  </si>
  <si>
    <t>ICE</t>
  </si>
  <si>
    <t>IBM</t>
  </si>
  <si>
    <t>IFF</t>
  </si>
  <si>
    <t>IGT</t>
  </si>
  <si>
    <t>IP</t>
  </si>
  <si>
    <t>IPG</t>
  </si>
  <si>
    <t>INTU</t>
  </si>
  <si>
    <t>ISRG</t>
  </si>
  <si>
    <t>IVZ</t>
  </si>
  <si>
    <t>IRM</t>
  </si>
  <si>
    <t>ITT</t>
  </si>
  <si>
    <t>JBL</t>
  </si>
  <si>
    <t>JEC</t>
  </si>
  <si>
    <t>JNS</t>
  </si>
  <si>
    <t>JDSU</t>
  </si>
  <si>
    <t>JNJ</t>
  </si>
  <si>
    <t>JCI</t>
  </si>
  <si>
    <t>JOYG</t>
  </si>
  <si>
    <t>JPM</t>
  </si>
  <si>
    <t>JNPR</t>
  </si>
  <si>
    <t>K</t>
  </si>
  <si>
    <t>KEY</t>
  </si>
  <si>
    <t>KMB</t>
  </si>
  <si>
    <t>KIM</t>
  </si>
  <si>
    <t>KLAC</t>
  </si>
  <si>
    <t>KSS</t>
  </si>
  <si>
    <t>KFT</t>
  </si>
  <si>
    <t>KR</t>
  </si>
  <si>
    <t>LLL</t>
  </si>
  <si>
    <t>LH</t>
  </si>
  <si>
    <t>LM</t>
  </si>
  <si>
    <t>LEG</t>
  </si>
  <si>
    <t>LEN</t>
  </si>
  <si>
    <t>LUK</t>
  </si>
  <si>
    <t>LXK</t>
  </si>
  <si>
    <t>LIFE</t>
  </si>
  <si>
    <t>LLY</t>
  </si>
  <si>
    <t>LTD</t>
  </si>
  <si>
    <t>LNC</t>
  </si>
  <si>
    <t>LLTC</t>
  </si>
  <si>
    <t>LMT</t>
  </si>
  <si>
    <t>L</t>
  </si>
  <si>
    <t>LO</t>
  </si>
  <si>
    <t>LOW</t>
  </si>
  <si>
    <t>LSI</t>
  </si>
  <si>
    <t>MTB</t>
  </si>
  <si>
    <t>M</t>
  </si>
  <si>
    <t>MRO</t>
  </si>
  <si>
    <t>MAR</t>
  </si>
  <si>
    <t>MMC</t>
  </si>
  <si>
    <t>MI</t>
  </si>
  <si>
    <t>MAS</t>
  </si>
  <si>
    <t>ANR</t>
  </si>
  <si>
    <t>MA</t>
  </si>
  <si>
    <t>MAT</t>
  </si>
  <si>
    <t>MKC</t>
  </si>
  <si>
    <t>MCD</t>
  </si>
  <si>
    <t>MHP</t>
  </si>
  <si>
    <t>MCK</t>
  </si>
  <si>
    <t>MJN</t>
  </si>
  <si>
    <t>MWV</t>
  </si>
  <si>
    <t>MHS</t>
  </si>
  <si>
    <t>MDT</t>
  </si>
  <si>
    <t>WFR</t>
  </si>
  <si>
    <t>MRK</t>
  </si>
  <si>
    <t>MET</t>
  </si>
  <si>
    <t>PCS</t>
  </si>
  <si>
    <t>MCHP</t>
  </si>
  <si>
    <t>MU</t>
  </si>
  <si>
    <t>MOLX</t>
  </si>
  <si>
    <t>TAP</t>
  </si>
  <si>
    <t>MON</t>
  </si>
  <si>
    <t>MWW</t>
  </si>
  <si>
    <t>MCO</t>
  </si>
  <si>
    <t>MS</t>
  </si>
  <si>
    <t>MMI</t>
  </si>
  <si>
    <t>MSI</t>
  </si>
  <si>
    <t>MUR</t>
  </si>
  <si>
    <t>MYL</t>
  </si>
  <si>
    <t>NBR</t>
  </si>
  <si>
    <t>NDAQ</t>
  </si>
  <si>
    <t>NOV</t>
  </si>
  <si>
    <t>NSM</t>
  </si>
  <si>
    <t>NTAP</t>
  </si>
  <si>
    <t>NFLX</t>
  </si>
  <si>
    <t>NWL</t>
  </si>
  <si>
    <t>NFX</t>
  </si>
  <si>
    <t>NEM</t>
  </si>
  <si>
    <t>NWSA</t>
  </si>
  <si>
    <t>NEE</t>
  </si>
  <si>
    <t>GAS</t>
  </si>
  <si>
    <t>NKE</t>
  </si>
  <si>
    <t>NI</t>
  </si>
  <si>
    <t>NE</t>
  </si>
  <si>
    <t>NBL</t>
  </si>
  <si>
    <t>JWN</t>
  </si>
  <si>
    <t>NSC</t>
  </si>
  <si>
    <t>NTRS</t>
  </si>
  <si>
    <t>NOC</t>
  </si>
  <si>
    <t>NU</t>
  </si>
  <si>
    <t>CMG</t>
  </si>
  <si>
    <t>NVLS</t>
  </si>
  <si>
    <t>NRG</t>
  </si>
  <si>
    <t>NUE</t>
  </si>
  <si>
    <t>NVDA</t>
  </si>
  <si>
    <t>NYX</t>
  </si>
  <si>
    <t>ORLY</t>
  </si>
  <si>
    <t>OXY</t>
  </si>
  <si>
    <t>OMC</t>
  </si>
  <si>
    <t>OKE</t>
  </si>
  <si>
    <t>ORCL</t>
  </si>
  <si>
    <t>OI</t>
  </si>
  <si>
    <t>PCAR</t>
  </si>
  <si>
    <t>IR</t>
  </si>
  <si>
    <t>PLL</t>
  </si>
  <si>
    <t>PH</t>
  </si>
  <si>
    <t>PDCO</t>
  </si>
  <si>
    <t>PAYX</t>
  </si>
  <si>
    <t>BTU</t>
  </si>
  <si>
    <t>JCP</t>
  </si>
  <si>
    <t>PBCT</t>
  </si>
  <si>
    <t>POM</t>
  </si>
  <si>
    <t>PEP</t>
  </si>
  <si>
    <t>PKI</t>
  </si>
  <si>
    <t>PFE</t>
  </si>
  <si>
    <t>PCG</t>
  </si>
  <si>
    <t>PM</t>
  </si>
  <si>
    <t>PNW</t>
  </si>
  <si>
    <t>PXD</t>
  </si>
  <si>
    <t>PBI</t>
  </si>
  <si>
    <t>PCL</t>
  </si>
  <si>
    <t>PNC</t>
  </si>
  <si>
    <t>RL</t>
  </si>
  <si>
    <t>PPG</t>
  </si>
  <si>
    <t>PPL</t>
  </si>
  <si>
    <t>PX</t>
  </si>
  <si>
    <t>PCP</t>
  </si>
  <si>
    <t>PCLN</t>
  </si>
  <si>
    <t>PFG</t>
  </si>
  <si>
    <t>PG</t>
  </si>
  <si>
    <t>PGN</t>
  </si>
  <si>
    <t>PGR</t>
  </si>
  <si>
    <t>PLD</t>
  </si>
  <si>
    <t>PRU</t>
  </si>
  <si>
    <t>PSA</t>
  </si>
  <si>
    <t>PHM</t>
  </si>
  <si>
    <t>QEP</t>
  </si>
  <si>
    <t>PWR</t>
  </si>
  <si>
    <t>QCOM</t>
  </si>
  <si>
    <t>DGX</t>
  </si>
  <si>
    <t>RSH</t>
  </si>
  <si>
    <t>RRC</t>
  </si>
  <si>
    <t>RTN</t>
  </si>
  <si>
    <t>RHT</t>
  </si>
  <si>
    <t>RF</t>
  </si>
  <si>
    <t>RSG</t>
  </si>
  <si>
    <t>RAI</t>
  </si>
  <si>
    <t>RHI</t>
  </si>
  <si>
    <t>ROK</t>
  </si>
  <si>
    <t>COL</t>
  </si>
  <si>
    <t>ROP</t>
  </si>
  <si>
    <t>ROST</t>
  </si>
  <si>
    <t>RDC</t>
  </si>
  <si>
    <t>R</t>
  </si>
  <si>
    <t>SWY</t>
  </si>
  <si>
    <t>SAI</t>
  </si>
  <si>
    <t>CRM</t>
  </si>
  <si>
    <t>SNDK</t>
  </si>
  <si>
    <t>SLE</t>
  </si>
  <si>
    <t>SCG</t>
  </si>
  <si>
    <t>SLB</t>
  </si>
  <si>
    <t>SNI</t>
  </si>
  <si>
    <t>SEE</t>
  </si>
  <si>
    <t>SHLD</t>
  </si>
  <si>
    <t>SRE</t>
  </si>
  <si>
    <t>SHW</t>
  </si>
  <si>
    <t>SIAL</t>
  </si>
  <si>
    <t>SPG</t>
  </si>
  <si>
    <t>SLM</t>
  </si>
  <si>
    <t>SJM</t>
  </si>
  <si>
    <t>SNA</t>
  </si>
  <si>
    <t>SO</t>
  </si>
  <si>
    <t>LUV</t>
  </si>
  <si>
    <t>SWN</t>
  </si>
  <si>
    <t>SE</t>
  </si>
  <si>
    <t>S</t>
  </si>
  <si>
    <t>STJ</t>
  </si>
  <si>
    <t>SWK</t>
  </si>
  <si>
    <t>SPLS</t>
  </si>
  <si>
    <t>SBUX</t>
  </si>
  <si>
    <t>HOT</t>
  </si>
  <si>
    <t>STT</t>
  </si>
  <si>
    <t>SRCL</t>
  </si>
  <si>
    <t>SYK</t>
  </si>
  <si>
    <t>SUN</t>
  </si>
  <si>
    <t>STI</t>
  </si>
  <si>
    <t>SVU</t>
  </si>
  <si>
    <t>SYMC</t>
  </si>
  <si>
    <t>SYY</t>
  </si>
  <si>
    <t>TROW</t>
  </si>
  <si>
    <t>TGT</t>
  </si>
  <si>
    <t>TE</t>
  </si>
  <si>
    <t>TLAB</t>
  </si>
  <si>
    <t>THC</t>
  </si>
  <si>
    <t>TDC</t>
  </si>
  <si>
    <t>TER</t>
  </si>
  <si>
    <t>TSO</t>
  </si>
  <si>
    <t>TXN</t>
  </si>
  <si>
    <t>TXT</t>
  </si>
  <si>
    <t>HSY</t>
  </si>
  <si>
    <t>TRV</t>
  </si>
  <si>
    <t>TMO</t>
  </si>
  <si>
    <t>TIF</t>
  </si>
  <si>
    <t>TWX</t>
  </si>
  <si>
    <t>TWC</t>
  </si>
  <si>
    <t>TIE</t>
  </si>
  <si>
    <t>TJX</t>
  </si>
  <si>
    <t>TMK</t>
  </si>
  <si>
    <t>TSS</t>
  </si>
  <si>
    <t>TSN</t>
  </si>
  <si>
    <t>TYC</t>
  </si>
  <si>
    <t>USB</t>
  </si>
  <si>
    <t>UNP</t>
  </si>
  <si>
    <t>UNH</t>
  </si>
  <si>
    <t>UPS</t>
  </si>
  <si>
    <t>X</t>
  </si>
  <si>
    <t>UTX</t>
  </si>
  <si>
    <t>UNM</t>
  </si>
  <si>
    <t>URBN</t>
  </si>
  <si>
    <t>VFC</t>
  </si>
  <si>
    <t>VLO</t>
  </si>
  <si>
    <t>VAR</t>
  </si>
  <si>
    <t>VTR</t>
  </si>
  <si>
    <t>VRSN</t>
  </si>
  <si>
    <t>VZ</t>
  </si>
  <si>
    <t>VIAB</t>
  </si>
  <si>
    <t>V</t>
  </si>
  <si>
    <t>VNO</t>
  </si>
  <si>
    <t>VMC</t>
  </si>
  <si>
    <t>WMT</t>
  </si>
  <si>
    <t>WAG</t>
  </si>
  <si>
    <t>DIS</t>
  </si>
  <si>
    <t>WPO</t>
  </si>
  <si>
    <t>WM</t>
  </si>
  <si>
    <t>WAT</t>
  </si>
  <si>
    <t>WPI</t>
  </si>
  <si>
    <t>WLP</t>
  </si>
  <si>
    <t>WFC</t>
  </si>
  <si>
    <t>WDC</t>
  </si>
  <si>
    <t>WU</t>
  </si>
  <si>
    <t>WY</t>
  </si>
  <si>
    <t>WHR</t>
  </si>
  <si>
    <t>WFM</t>
  </si>
  <si>
    <t>WMB</t>
  </si>
  <si>
    <t>WIN</t>
  </si>
  <si>
    <t>WEC</t>
  </si>
  <si>
    <t>WYN</t>
  </si>
  <si>
    <t>WYNN</t>
  </si>
  <si>
    <t>XEL</t>
  </si>
  <si>
    <t>XRX</t>
  </si>
  <si>
    <t>XLNX</t>
  </si>
  <si>
    <t>XL</t>
  </si>
  <si>
    <t>YHOO</t>
  </si>
  <si>
    <t>YUM</t>
  </si>
  <si>
    <t>ZMH</t>
  </si>
  <si>
    <t>ZION</t>
  </si>
  <si>
    <t>mkcap</t>
  </si>
  <si>
    <t>BRK-B</t>
  </si>
  <si>
    <t>BF-B</t>
  </si>
  <si>
    <t>12.621B</t>
  </si>
  <si>
    <t>4.324B</t>
  </si>
  <si>
    <t>7.957B</t>
  </si>
  <si>
    <t>53.123B</t>
  </si>
  <si>
    <t>20.406B</t>
  </si>
  <si>
    <t>80.335B</t>
  </si>
  <si>
    <t>5.925B</t>
  </si>
  <si>
    <t>14.267B</t>
  </si>
  <si>
    <t>15.925B</t>
  </si>
  <si>
    <t>11.236B</t>
  </si>
  <si>
    <t>17.059B</t>
  </si>
  <si>
    <t>5.060B</t>
  </si>
  <si>
    <t>760.9M</t>
  </si>
  <si>
    <t>3.951B</t>
  </si>
  <si>
    <t>10.825B</t>
  </si>
  <si>
    <t>4.283B</t>
  </si>
  <si>
    <t>26.003B</t>
  </si>
  <si>
    <t>12.300B</t>
  </si>
  <si>
    <t>11.308B</t>
  </si>
  <si>
    <t>54.722B</t>
  </si>
  <si>
    <t>106.2B</t>
  </si>
  <si>
    <t>7.394B</t>
  </si>
  <si>
    <t>18.437B</t>
  </si>
  <si>
    <t>56.746B</t>
  </si>
  <si>
    <t>44.526B</t>
  </si>
  <si>
    <t>21.481B</t>
  </si>
  <si>
    <t>9.594B</t>
  </si>
  <si>
    <t>10.466B</t>
  </si>
  <si>
    <t>52.294B</t>
  </si>
  <si>
    <t>7.359B</t>
  </si>
  <si>
    <t>35.190B</t>
  </si>
  <si>
    <t>9.883B</t>
  </si>
  <si>
    <t>13.332B</t>
  </si>
  <si>
    <t>32.691B</t>
  </si>
  <si>
    <t>2.829B</t>
  </si>
  <si>
    <t>5.826B</t>
  </si>
  <si>
    <t>370.9B</t>
  </si>
  <si>
    <t>14.150B</t>
  </si>
  <si>
    <t>17.341B</t>
  </si>
  <si>
    <t>3.353B</t>
  </si>
  <si>
    <t>171.2B</t>
  </si>
  <si>
    <t>6.687B</t>
  </si>
  <si>
    <t>23.568B</t>
  </si>
  <si>
    <t>5.013B</t>
  </si>
  <si>
    <t>13.041B</t>
  </si>
  <si>
    <t>10.652B</t>
  </si>
  <si>
    <t>2.761B</t>
  </si>
  <si>
    <t>8.545B</t>
  </si>
  <si>
    <t>22.194B</t>
  </si>
  <si>
    <t>5.194B</t>
  </si>
  <si>
    <t>65.164B</t>
  </si>
  <si>
    <t>23.581B</t>
  </si>
  <si>
    <t>7.694B</t>
  </si>
  <si>
    <t>31.709B</t>
  </si>
  <si>
    <t>15.363B</t>
  </si>
  <si>
    <t>16.087B</t>
  </si>
  <si>
    <t>14.534B</t>
  </si>
  <si>
    <t>3.129B</t>
  </si>
  <si>
    <t>119.3M</t>
  </si>
  <si>
    <t>9.193B</t>
  </si>
  <si>
    <t>2.318B</t>
  </si>
  <si>
    <t>23.663B</t>
  </si>
  <si>
    <t>26.795B</t>
  </si>
  <si>
    <t>4.192B</t>
  </si>
  <si>
    <t>7.028B</t>
  </si>
  <si>
    <t>46.726B</t>
  </si>
  <si>
    <t>13.606B</t>
  </si>
  <si>
    <t>9.352B</t>
  </si>
  <si>
    <t>53.259B</t>
  </si>
  <si>
    <t>18.629B</t>
  </si>
  <si>
    <t>10.057B</t>
  </si>
  <si>
    <t>11.389B</t>
  </si>
  <si>
    <t>10.266B</t>
  </si>
  <si>
    <t>4.976B</t>
  </si>
  <si>
    <t>6.931B</t>
  </si>
  <si>
    <t>11.229B</t>
  </si>
  <si>
    <t>10.387B</t>
  </si>
  <si>
    <t>19.317B</t>
  </si>
  <si>
    <t>15.128B</t>
  </si>
  <si>
    <t>5.470B</t>
  </si>
  <si>
    <t>5.594B</t>
  </si>
  <si>
    <t>24.860B</t>
  </si>
  <si>
    <t>49.825B</t>
  </si>
  <si>
    <t>4.464B</t>
  </si>
  <si>
    <t>14.664B</t>
  </si>
  <si>
    <t>29.166B</t>
  </si>
  <si>
    <t>8.240B</t>
  </si>
  <si>
    <t>20.480B</t>
  </si>
  <si>
    <t>6.311B</t>
  </si>
  <si>
    <t>12.143B</t>
  </si>
  <si>
    <t>10.735B</t>
  </si>
  <si>
    <t>14.023B</t>
  </si>
  <si>
    <t>18.180B</t>
  </si>
  <si>
    <t>188.7B</t>
  </si>
  <si>
    <t>17.115B</t>
  </si>
  <si>
    <t>11.729B</t>
  </si>
  <si>
    <t>4.301B</t>
  </si>
  <si>
    <t>3.740B</t>
  </si>
  <si>
    <t>88.944B</t>
  </si>
  <si>
    <t>77.938B</t>
  </si>
  <si>
    <t>10.915B</t>
  </si>
  <si>
    <t>8.268B</t>
  </si>
  <si>
    <t>8.802B</t>
  </si>
  <si>
    <t>17.249B</t>
  </si>
  <si>
    <t>5.016B</t>
  </si>
  <si>
    <t>16.954B</t>
  </si>
  <si>
    <t>157.9B</t>
  </si>
  <si>
    <t>8.153B</t>
  </si>
  <si>
    <t>20.193B</t>
  </si>
  <si>
    <t>43.682B</t>
  </si>
  <si>
    <t>18.404B</t>
  </si>
  <si>
    <t>7.010B</t>
  </si>
  <si>
    <t>121.6B</t>
  </si>
  <si>
    <t>10.103B</t>
  </si>
  <si>
    <t>19.606B</t>
  </si>
  <si>
    <t>5.629B</t>
  </si>
  <si>
    <t>27.536B</t>
  </si>
  <si>
    <t>6.369B</t>
  </si>
  <si>
    <t>6.515B</t>
  </si>
  <si>
    <t>12.990B</t>
  </si>
  <si>
    <t>60.842B</t>
  </si>
  <si>
    <t>13.143B</t>
  </si>
  <si>
    <t>6.553B</t>
  </si>
  <si>
    <t>8.273B</t>
  </si>
  <si>
    <t>3.893B</t>
  </si>
  <si>
    <t>2.897B</t>
  </si>
  <si>
    <t>2.517B</t>
  </si>
  <si>
    <t>5.696B</t>
  </si>
  <si>
    <t>2.222B</t>
  </si>
  <si>
    <t>6.838B</t>
  </si>
  <si>
    <t>41.750B</t>
  </si>
  <si>
    <t>12.261B</t>
  </si>
  <si>
    <t>4.838B</t>
  </si>
  <si>
    <t>6.657B</t>
  </si>
  <si>
    <t>24.683B</t>
  </si>
  <si>
    <t>14.087B</t>
  </si>
  <si>
    <t>15.034B</t>
  </si>
  <si>
    <t>25.267B</t>
  </si>
  <si>
    <t>3.116B</t>
  </si>
  <si>
    <t>9.019B</t>
  </si>
  <si>
    <t>11.617B</t>
  </si>
  <si>
    <t>16.079B</t>
  </si>
  <si>
    <t>9.841B</t>
  </si>
  <si>
    <t>14.560B</t>
  </si>
  <si>
    <t/>
  </si>
  <si>
    <t>2.606B</t>
  </si>
  <si>
    <t>4.352B</t>
  </si>
  <si>
    <t>41.959B</t>
  </si>
  <si>
    <t>9.148B</t>
  </si>
  <si>
    <t>6.155B</t>
  </si>
  <si>
    <t>91.599B</t>
  </si>
  <si>
    <t>13.122B</t>
  </si>
  <si>
    <t>18.495B</t>
  </si>
  <si>
    <t>14.776B</t>
  </si>
  <si>
    <t>4.357B</t>
  </si>
  <si>
    <t>18.664B</t>
  </si>
  <si>
    <t>35.946B</t>
  </si>
  <si>
    <t>1.267B</t>
  </si>
  <si>
    <t>99.448B</t>
  </si>
  <si>
    <t>30.181B</t>
  </si>
  <si>
    <t>3.261B</t>
  </si>
  <si>
    <t>6.204B</t>
  </si>
  <si>
    <t>6.164B</t>
  </si>
  <si>
    <t>215.9B</t>
  </si>
  <si>
    <t>3.741B</t>
  </si>
  <si>
    <t>7.482B</t>
  </si>
  <si>
    <t>33.993B</t>
  </si>
  <si>
    <t>945.8M</t>
  </si>
  <si>
    <t>7.106B</t>
  </si>
  <si>
    <t>27.858B</t>
  </si>
  <si>
    <t>11.272B</t>
  </si>
  <si>
    <t>14.549B</t>
  </si>
  <si>
    <t>8.724B</t>
  </si>
  <si>
    <t>7.681B</t>
  </si>
  <si>
    <t>3.855B</t>
  </si>
  <si>
    <t>4.266B</t>
  </si>
  <si>
    <t>22.925B</t>
  </si>
  <si>
    <t>12.952B</t>
  </si>
  <si>
    <t>61.553B</t>
  </si>
  <si>
    <t>4.069B</t>
  </si>
  <si>
    <t>4.250B</t>
  </si>
  <si>
    <t>1.755B</t>
  </si>
  <si>
    <t>9.965B</t>
  </si>
  <si>
    <t>87.805B</t>
  </si>
  <si>
    <t>8.179B</t>
  </si>
  <si>
    <t>16.577B</t>
  </si>
  <si>
    <t>3.867B</t>
  </si>
  <si>
    <t>7.739B</t>
  </si>
  <si>
    <t>19.796B</t>
  </si>
  <si>
    <t>37.035B</t>
  </si>
  <si>
    <t>4.323B</t>
  </si>
  <si>
    <t>22.387B</t>
  </si>
  <si>
    <t>20.756B</t>
  </si>
  <si>
    <t>16.995B</t>
  </si>
  <si>
    <t>46.127B</t>
  </si>
  <si>
    <t>2.879B</t>
  </si>
  <si>
    <t>29.568B</t>
  </si>
  <si>
    <t>5.876B</t>
  </si>
  <si>
    <t>6.552B</t>
  </si>
  <si>
    <t>1.734B</t>
  </si>
  <si>
    <t>28.124B</t>
  </si>
  <si>
    <t>27.403B</t>
  </si>
  <si>
    <t>4.867B</t>
  </si>
  <si>
    <t>4.476B</t>
  </si>
  <si>
    <t>23.903B</t>
  </si>
  <si>
    <t>2.667B</t>
  </si>
  <si>
    <t>7.929B</t>
  </si>
  <si>
    <t>32.957B</t>
  </si>
  <si>
    <t>13.336B</t>
  </si>
  <si>
    <t>16.386B</t>
  </si>
  <si>
    <t>28.865B</t>
  </si>
  <si>
    <t>2.683B</t>
  </si>
  <si>
    <t>8.829B</t>
  </si>
  <si>
    <t>28.308B</t>
  </si>
  <si>
    <t>8.008B</t>
  </si>
  <si>
    <t>8.301B</t>
  </si>
  <si>
    <t>38.428B</t>
  </si>
  <si>
    <t>26.656B</t>
  </si>
  <si>
    <t>3.081B</t>
  </si>
  <si>
    <t>2.551B</t>
  </si>
  <si>
    <t>4.872B</t>
  </si>
  <si>
    <t>12.508B</t>
  </si>
  <si>
    <t>40.828B</t>
  </si>
  <si>
    <t>11.496B</t>
  </si>
  <si>
    <t>12.283B</t>
  </si>
  <si>
    <t>8.753B</t>
  </si>
  <si>
    <t>13.618B</t>
  </si>
  <si>
    <t>7.018B</t>
  </si>
  <si>
    <t>44.458B</t>
  </si>
  <si>
    <t>32.588B</t>
  </si>
  <si>
    <t>11.738B</t>
  </si>
  <si>
    <t>20.287B</t>
  </si>
  <si>
    <t>8.539B</t>
  </si>
  <si>
    <t>15.690B</t>
  </si>
  <si>
    <t>18.076B</t>
  </si>
  <si>
    <t>28.390B</t>
  </si>
  <si>
    <t>7.846B</t>
  </si>
  <si>
    <t>8.729B</t>
  </si>
  <si>
    <t>18.752B</t>
  </si>
  <si>
    <t>352.8B</t>
  </si>
  <si>
    <t>6.129B</t>
  </si>
  <si>
    <t>6.505B</t>
  </si>
  <si>
    <t>10.158B</t>
  </si>
  <si>
    <t>1.877B</t>
  </si>
  <si>
    <t>22.066B</t>
  </si>
  <si>
    <t>7.613B</t>
  </si>
  <si>
    <t>9.447B</t>
  </si>
  <si>
    <t>1.632B</t>
  </si>
  <si>
    <t>5.745B</t>
  </si>
  <si>
    <t>18.849B</t>
  </si>
  <si>
    <t>7.249B</t>
  </si>
  <si>
    <t>4.172B</t>
  </si>
  <si>
    <t>4.425B</t>
  </si>
  <si>
    <t>8.609B</t>
  </si>
  <si>
    <t>5.263B</t>
  </si>
  <si>
    <t>9.508B</t>
  </si>
  <si>
    <t>38.169B</t>
  </si>
  <si>
    <t>8.514B</t>
  </si>
  <si>
    <t>8.738B</t>
  </si>
  <si>
    <t>21.710B</t>
  </si>
  <si>
    <t>30.635B</t>
  </si>
  <si>
    <t>6.189B</t>
  </si>
  <si>
    <t>3.281B</t>
  </si>
  <si>
    <t>2.271B</t>
  </si>
  <si>
    <t>8.594B</t>
  </si>
  <si>
    <t>20.975B</t>
  </si>
  <si>
    <t>165.2B</t>
  </si>
  <si>
    <t>25.092B</t>
  </si>
  <si>
    <t>8.047B</t>
  </si>
  <si>
    <t>2.743B</t>
  </si>
  <si>
    <t>30.588B</t>
  </si>
  <si>
    <t>49.391B</t>
  </si>
  <si>
    <t>15.143B</t>
  </si>
  <si>
    <t>2.484B</t>
  </si>
  <si>
    <t>172.0B</t>
  </si>
  <si>
    <t>10.841B</t>
  </si>
  <si>
    <t>30.557B</t>
  </si>
  <si>
    <t>8.546B</t>
  </si>
  <si>
    <t>2.175B</t>
  </si>
  <si>
    <t>4.278B</t>
  </si>
  <si>
    <t>7.154B</t>
  </si>
  <si>
    <t>4.633B</t>
  </si>
  <si>
    <t>14.455B</t>
  </si>
  <si>
    <t>8.541B</t>
  </si>
  <si>
    <t>16.489B</t>
  </si>
  <si>
    <t>4.701B</t>
  </si>
  <si>
    <t>18.851B</t>
  </si>
  <si>
    <t>46.386B</t>
  </si>
  <si>
    <t>52.873B</t>
  </si>
  <si>
    <t>34.896B</t>
  </si>
  <si>
    <t>7.180B</t>
  </si>
  <si>
    <t>6.219B</t>
  </si>
  <si>
    <t>7.979B</t>
  </si>
  <si>
    <t>2.772B</t>
  </si>
  <si>
    <t>12.858B</t>
  </si>
  <si>
    <t>4.248B</t>
  </si>
  <si>
    <t>21.322B</t>
  </si>
  <si>
    <t>3.807B</t>
  </si>
  <si>
    <t>117.9B</t>
  </si>
  <si>
    <t>8.960B</t>
  </si>
  <si>
    <t>213.4B</t>
  </si>
  <si>
    <t>4.616B</t>
  </si>
  <si>
    <t>4.397B</t>
  </si>
  <si>
    <t>10.691B</t>
  </si>
  <si>
    <t>3.517B</t>
  </si>
  <si>
    <t>14.475B</t>
  </si>
  <si>
    <t>14.898B</t>
  </si>
  <si>
    <t>7.228B</t>
  </si>
  <si>
    <t>6.594B</t>
  </si>
  <si>
    <t>8.027B</t>
  </si>
  <si>
    <t>4.081B</t>
  </si>
  <si>
    <t>4.332B</t>
  </si>
  <si>
    <t>1.171B</t>
  </si>
  <si>
    <t>2.465B</t>
  </si>
  <si>
    <t>174.1B</t>
  </si>
  <si>
    <t>Request Failed</t>
  </si>
  <si>
    <t>3.538B</t>
  </si>
  <si>
    <t>5.571B</t>
  </si>
  <si>
    <t>30.728B</t>
  </si>
  <si>
    <t>42.293B</t>
  </si>
  <si>
    <t>22.908B</t>
  </si>
  <si>
    <t>2.476B</t>
  </si>
  <si>
    <t>42.725B</t>
  </si>
  <si>
    <t>6.042B</t>
  </si>
  <si>
    <t>7.751B</t>
  </si>
  <si>
    <t>12.788B</t>
  </si>
  <si>
    <t>10.095B</t>
  </si>
  <si>
    <t>21.492B</t>
  </si>
  <si>
    <t>8.481B</t>
  </si>
  <si>
    <t>14.662B</t>
  </si>
  <si>
    <t>6.023B</t>
  </si>
  <si>
    <t>10.116B</t>
  </si>
  <si>
    <t>2.001B</t>
  </si>
  <si>
    <t>5.184B</t>
  </si>
  <si>
    <t>10.176B</t>
  </si>
  <si>
    <t>8.087B</t>
  </si>
  <si>
    <t>6.414B</t>
  </si>
  <si>
    <t>9.408B</t>
  </si>
  <si>
    <t>61.957B</t>
  </si>
  <si>
    <t>10.813B</t>
  </si>
  <si>
    <t>6.956B</t>
  </si>
  <si>
    <t>151.2B</t>
  </si>
  <si>
    <t>2.672B</t>
  </si>
  <si>
    <t>12.961B</t>
  </si>
  <si>
    <t>10.595B</t>
  </si>
  <si>
    <t>5.095B</t>
  </si>
  <si>
    <t>10.093B</t>
  </si>
  <si>
    <t>3.455B</t>
  </si>
  <si>
    <t>9.832B</t>
  </si>
  <si>
    <t>9.820B</t>
  </si>
  <si>
    <t>5.941B</t>
  </si>
  <si>
    <t>4.036B</t>
  </si>
  <si>
    <t>4.270B</t>
  </si>
  <si>
    <t>98.644B</t>
  </si>
  <si>
    <t>2.179B</t>
  </si>
  <si>
    <t>138.2B</t>
  </si>
  <si>
    <t>17.061B</t>
  </si>
  <si>
    <t>112.3B</t>
  </si>
  <si>
    <t>4.686B</t>
  </si>
  <si>
    <t>8.196B</t>
  </si>
  <si>
    <t>3.938B</t>
  </si>
  <si>
    <t>5.668B</t>
  </si>
  <si>
    <t>25.659B</t>
  </si>
  <si>
    <t>13.272B</t>
  </si>
  <si>
    <t>11.390B</t>
  </si>
  <si>
    <t>16.691B</t>
  </si>
  <si>
    <t>28.699B</t>
  </si>
  <si>
    <t>23.722B</t>
  </si>
  <si>
    <t>25.032B</t>
  </si>
  <si>
    <t>7.323B</t>
  </si>
  <si>
    <t>173.9B</t>
  </si>
  <si>
    <t>15.257B</t>
  </si>
  <si>
    <t>11.357B</t>
  </si>
  <si>
    <t>11.700B</t>
  </si>
  <si>
    <t>22.298B</t>
  </si>
  <si>
    <t>17.094B</t>
  </si>
  <si>
    <t>19.481B</t>
  </si>
  <si>
    <t>1.541B</t>
  </si>
  <si>
    <t>4.998B</t>
  </si>
  <si>
    <t>3.992B</t>
  </si>
  <si>
    <t>86.809B</t>
  </si>
  <si>
    <t>7.925B</t>
  </si>
  <si>
    <t>1.240B</t>
  </si>
  <si>
    <t>9.628B</t>
  </si>
  <si>
    <t>14.364B</t>
  </si>
  <si>
    <t>8.426B</t>
  </si>
  <si>
    <t>4.431B</t>
  </si>
  <si>
    <t>10.678B</t>
  </si>
  <si>
    <t>21.632B</t>
  </si>
  <si>
    <t>3.083B</t>
  </si>
  <si>
    <t>8.187B</t>
  </si>
  <si>
    <t>8.186B</t>
  </si>
  <si>
    <t>6.862B</t>
  </si>
  <si>
    <t>9.286B</t>
  </si>
  <si>
    <t>4.200B</t>
  </si>
  <si>
    <t>2.016B</t>
  </si>
  <si>
    <t>5.865B</t>
  </si>
  <si>
    <t>4.102B</t>
  </si>
  <si>
    <t>4.157B</t>
  </si>
  <si>
    <t>16.462B</t>
  </si>
  <si>
    <t>10.069B</t>
  </si>
  <si>
    <t>10.075B</t>
  </si>
  <si>
    <t>5.189B</t>
  </si>
  <si>
    <t>81.623B</t>
  </si>
  <si>
    <t>6.331B</t>
  </si>
  <si>
    <t>2.776B</t>
  </si>
  <si>
    <t>6.033B</t>
  </si>
  <si>
    <t>12.150B</t>
  </si>
  <si>
    <t>8.176B</t>
  </si>
  <si>
    <t>7.685B</t>
  </si>
  <si>
    <t>32.750B</t>
  </si>
  <si>
    <t>6.480B</t>
  </si>
  <si>
    <t>8.433B</t>
  </si>
  <si>
    <t>2.677B</t>
  </si>
  <si>
    <t>36.364B</t>
  </si>
  <si>
    <t>6.858B</t>
  </si>
  <si>
    <t>12.054B</t>
  </si>
  <si>
    <t>16.070B</t>
  </si>
  <si>
    <t>9.238B</t>
  </si>
  <si>
    <t>8.691B</t>
  </si>
  <si>
    <t>9.858B</t>
  </si>
  <si>
    <t>29.486B</t>
  </si>
  <si>
    <t>7.736B</t>
  </si>
  <si>
    <t>16.164B</t>
  </si>
  <si>
    <t>7.045B</t>
  </si>
  <si>
    <t>18.997B</t>
  </si>
  <si>
    <t>3.916B</t>
  </si>
  <si>
    <t>9.647B</t>
  </si>
  <si>
    <t>1.428B</t>
  </si>
  <si>
    <t>12.708B</t>
  </si>
  <si>
    <t>15.612B</t>
  </si>
  <si>
    <t>12.459B</t>
  </si>
  <si>
    <t>34.025B</t>
  </si>
  <si>
    <t>3.691B</t>
  </si>
  <si>
    <t>1.620B</t>
  </si>
  <si>
    <t>1.946B</t>
  </si>
  <si>
    <t>9.531B</t>
  </si>
  <si>
    <t>2.093B</t>
  </si>
  <si>
    <t>2.852B</t>
  </si>
  <si>
    <t>31.644B</t>
  </si>
  <si>
    <t>5.031B</t>
  </si>
  <si>
    <t>13.420B</t>
  </si>
  <si>
    <t>20.292B</t>
  </si>
  <si>
    <t>19.476B</t>
  </si>
  <si>
    <t>8.884B</t>
  </si>
  <si>
    <t>32.263B</t>
  </si>
  <si>
    <t>21.244B</t>
  </si>
  <si>
    <t>2.686B</t>
  </si>
  <si>
    <t>22.028B</t>
  </si>
  <si>
    <t>3.657B</t>
  </si>
  <si>
    <t>3.333B</t>
  </si>
  <si>
    <t>6.251B</t>
  </si>
  <si>
    <t>19.220B</t>
  </si>
  <si>
    <t>45.276B</t>
  </si>
  <si>
    <t>40.760B</t>
  </si>
  <si>
    <t>51.505B</t>
  </si>
  <si>
    <t>62.094B</t>
  </si>
  <si>
    <t>3.249B</t>
  </si>
  <si>
    <t>65.455B</t>
  </si>
  <si>
    <t>6.361B</t>
  </si>
  <si>
    <t>3.560B</t>
  </si>
  <si>
    <t>13.938B</t>
  </si>
  <si>
    <t>10.607B</t>
  </si>
  <si>
    <t>6.132B</t>
  </si>
  <si>
    <t>14.261B</t>
  </si>
  <si>
    <t>4.772B</t>
  </si>
  <si>
    <t>104.7B</t>
  </si>
  <si>
    <t>23.507B</t>
  </si>
  <si>
    <t>61.028B</t>
  </si>
  <si>
    <t>14.286B</t>
  </si>
  <si>
    <t>3.813B</t>
  </si>
  <si>
    <t>177.7B</t>
  </si>
  <si>
    <t>29.834B</t>
  </si>
  <si>
    <t>56.738B</t>
  </si>
  <si>
    <t>2.514B</t>
  </si>
  <si>
    <t>14.997B</t>
  </si>
  <si>
    <t>7.048B</t>
  </si>
  <si>
    <t>9.482B</t>
  </si>
  <si>
    <t>23.490B</t>
  </si>
  <si>
    <t>130.0B</t>
  </si>
  <si>
    <t>6.319B</t>
  </si>
  <si>
    <t>10.018B</t>
  </si>
  <si>
    <t>8.591B</t>
  </si>
  <si>
    <t>3.851B</t>
  </si>
  <si>
    <t>12.419B</t>
  </si>
  <si>
    <t>14.793B</t>
  </si>
  <si>
    <t>6.048B</t>
  </si>
  <si>
    <t>7.234B</t>
  </si>
  <si>
    <t>4.881B</t>
  </si>
  <si>
    <t>16.797B</t>
  </si>
  <si>
    <t>11.925B</t>
  </si>
  <si>
    <t>10.259B</t>
  </si>
  <si>
    <t>7.565B</t>
  </si>
  <si>
    <t>5.612B</t>
  </si>
  <si>
    <t>17.916B</t>
  </si>
  <si>
    <t>24.414B</t>
  </si>
  <si>
    <t>10.472B</t>
  </si>
  <si>
    <t>2.718B</t>
  </si>
  <si>
    <t>ticker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</si>
</sst>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1" fillId="0" borderId="0" xfId="0" applyFont="1"/>
    <xf numFmtId="0" fontId="2" fillId="2" borderId="0" xfId="0" applyFont="1" applyFill="1"/>
    <xf numFmtId="0" fontId="0" fillId="0" borderId="0" xfId="0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92"/>
  <sheetViews>
    <sheetView zoomScale="85" zoomScaleNormal="85" workbookViewId="0">
      <selection activeCell="B10" sqref="B10"/>
    </sheetView>
  </sheetViews>
  <sheetFormatPr defaultRowHeight="15"/>
  <cols>
    <col min="1" max="1" width="40.5703125" customWidth="1"/>
    <col min="2" max="2" width="35.42578125" bestFit="1" customWidth="1"/>
  </cols>
  <sheetData>
    <row r="1" spans="1:2">
      <c r="A1" s="3" t="s">
        <v>10</v>
      </c>
      <c r="B1" s="5"/>
    </row>
    <row r="2" spans="1:2">
      <c r="A2" s="1" t="s">
        <v>94</v>
      </c>
      <c r="B2" s="1"/>
    </row>
    <row r="3" spans="1:2">
      <c r="A3" s="1"/>
      <c r="B3" s="1"/>
    </row>
    <row r="4" spans="1:2">
      <c r="A4" s="3" t="s">
        <v>11</v>
      </c>
      <c r="B4" s="5"/>
    </row>
    <row r="5" spans="1:2">
      <c r="A5" t="s">
        <v>14</v>
      </c>
      <c r="B5" t="s">
        <v>16</v>
      </c>
    </row>
    <row r="6" spans="1:2">
      <c r="A6" t="s">
        <v>15</v>
      </c>
      <c r="B6" t="s">
        <v>9</v>
      </c>
    </row>
    <row r="7" spans="1:2">
      <c r="A7" s="1" t="s">
        <v>17</v>
      </c>
      <c r="B7" t="str">
        <f>getyahoo(B5, B6)</f>
        <v>25.9788</v>
      </c>
    </row>
    <row r="8" spans="1:2">
      <c r="A8" s="1" t="s">
        <v>93</v>
      </c>
      <c r="B8" t="str">
        <f>getyahoo("MSFT", "Change")</f>
        <v>+0.3088</v>
      </c>
    </row>
    <row r="9" spans="1:2">
      <c r="B9" s="1"/>
    </row>
    <row r="10" spans="1:2">
      <c r="A10" s="3" t="s">
        <v>13</v>
      </c>
    </row>
    <row r="11" spans="1:2" ht="15.75">
      <c r="A11" s="2" t="s">
        <v>12</v>
      </c>
    </row>
    <row r="12" spans="1:2" ht="15.75">
      <c r="A12" s="2" t="s">
        <v>18</v>
      </c>
    </row>
    <row r="13" spans="1:2" ht="15.75">
      <c r="A13" s="2" t="s">
        <v>19</v>
      </c>
    </row>
    <row r="14" spans="1:2" ht="15.75">
      <c r="A14" s="2" t="s">
        <v>20</v>
      </c>
    </row>
    <row r="15" spans="1:2" ht="15.75">
      <c r="A15" s="2" t="s">
        <v>21</v>
      </c>
    </row>
    <row r="16" spans="1:2" ht="15.75">
      <c r="A16" s="2" t="s">
        <v>22</v>
      </c>
    </row>
    <row r="17" spans="1:1" ht="15.75">
      <c r="A17" s="2" t="s">
        <v>23</v>
      </c>
    </row>
    <row r="18" spans="1:1" ht="15.75">
      <c r="A18" s="2" t="s">
        <v>24</v>
      </c>
    </row>
    <row r="19" spans="1:1" ht="15.75">
      <c r="A19" s="2" t="s">
        <v>25</v>
      </c>
    </row>
    <row r="20" spans="1:1" ht="15.75">
      <c r="A20" s="2" t="s">
        <v>26</v>
      </c>
    </row>
    <row r="21" spans="1:1" ht="15.75">
      <c r="A21" s="2" t="s">
        <v>27</v>
      </c>
    </row>
    <row r="22" spans="1:1" ht="15.75">
      <c r="A22" s="2" t="s">
        <v>28</v>
      </c>
    </row>
    <row r="23" spans="1:1" ht="15.75">
      <c r="A23" s="2" t="s">
        <v>29</v>
      </c>
    </row>
    <row r="24" spans="1:1" ht="15.75">
      <c r="A24" s="2" t="s">
        <v>30</v>
      </c>
    </row>
    <row r="25" spans="1:1" ht="15.75">
      <c r="A25" s="2" t="s">
        <v>31</v>
      </c>
    </row>
    <row r="26" spans="1:1" ht="15.75">
      <c r="A26" s="2" t="s">
        <v>32</v>
      </c>
    </row>
    <row r="27" spans="1:1" ht="15.75">
      <c r="A27" s="2" t="s">
        <v>33</v>
      </c>
    </row>
    <row r="28" spans="1:1" ht="15.75">
      <c r="A28" s="2" t="s">
        <v>34</v>
      </c>
    </row>
    <row r="29" spans="1:1" ht="15.75">
      <c r="A29" s="2" t="s">
        <v>35</v>
      </c>
    </row>
    <row r="30" spans="1:1" ht="15.75">
      <c r="A30" s="2" t="s">
        <v>36</v>
      </c>
    </row>
    <row r="31" spans="1:1" ht="15.75">
      <c r="A31" s="2" t="s">
        <v>37</v>
      </c>
    </row>
    <row r="32" spans="1:1" ht="15.75">
      <c r="A32" s="2" t="s">
        <v>38</v>
      </c>
    </row>
    <row r="33" spans="1:1" ht="15.75">
      <c r="A33" s="2" t="s">
        <v>39</v>
      </c>
    </row>
    <row r="34" spans="1:1" ht="15.75">
      <c r="A34" s="2" t="s">
        <v>40</v>
      </c>
    </row>
    <row r="35" spans="1:1" ht="15.75">
      <c r="A35" s="2" t="s">
        <v>41</v>
      </c>
    </row>
    <row r="36" spans="1:1" ht="15.75">
      <c r="A36" s="2" t="s">
        <v>42</v>
      </c>
    </row>
    <row r="37" spans="1:1" ht="15.75">
      <c r="A37" s="2" t="s">
        <v>43</v>
      </c>
    </row>
    <row r="38" spans="1:1" ht="15.75">
      <c r="A38" s="2" t="s">
        <v>44</v>
      </c>
    </row>
    <row r="39" spans="1:1" ht="15.75">
      <c r="A39" s="2" t="s">
        <v>45</v>
      </c>
    </row>
    <row r="40" spans="1:1" ht="15.75">
      <c r="A40" s="2" t="s">
        <v>46</v>
      </c>
    </row>
    <row r="41" spans="1:1" ht="15.75">
      <c r="A41" s="2" t="s">
        <v>47</v>
      </c>
    </row>
    <row r="42" spans="1:1" ht="15.75">
      <c r="A42" s="2" t="s">
        <v>8</v>
      </c>
    </row>
    <row r="43" spans="1:1" ht="15.75">
      <c r="A43" s="2" t="s">
        <v>48</v>
      </c>
    </row>
    <row r="44" spans="1:1" ht="15.75">
      <c r="A44" s="2" t="s">
        <v>0</v>
      </c>
    </row>
    <row r="45" spans="1:1" ht="15.75">
      <c r="A45" s="2" t="s">
        <v>49</v>
      </c>
    </row>
    <row r="46" spans="1:1" ht="15.75">
      <c r="A46" s="2" t="s">
        <v>50</v>
      </c>
    </row>
    <row r="47" spans="1:1" ht="15.75">
      <c r="A47" s="2" t="s">
        <v>51</v>
      </c>
    </row>
    <row r="48" spans="1:1" ht="15.75">
      <c r="A48" s="2" t="s">
        <v>52</v>
      </c>
    </row>
    <row r="49" spans="1:1" ht="15.75">
      <c r="A49" s="2" t="s">
        <v>53</v>
      </c>
    </row>
    <row r="50" spans="1:1" ht="15.75">
      <c r="A50" s="2" t="s">
        <v>54</v>
      </c>
    </row>
    <row r="51" spans="1:1" ht="15.75">
      <c r="A51" s="2" t="s">
        <v>55</v>
      </c>
    </row>
    <row r="52" spans="1:1" ht="15.75">
      <c r="A52" s="2" t="s">
        <v>9</v>
      </c>
    </row>
    <row r="53" spans="1:1" ht="15.75">
      <c r="A53" s="2" t="s">
        <v>56</v>
      </c>
    </row>
    <row r="54" spans="1:1" ht="15.75">
      <c r="A54" s="2" t="s">
        <v>57</v>
      </c>
    </row>
    <row r="55" spans="1:1" ht="15.75">
      <c r="A55" s="2" t="s">
        <v>58</v>
      </c>
    </row>
    <row r="56" spans="1:1" ht="15.75">
      <c r="A56" s="2" t="s">
        <v>59</v>
      </c>
    </row>
    <row r="57" spans="1:1" ht="15.75">
      <c r="A57" s="2" t="s">
        <v>60</v>
      </c>
    </row>
    <row r="58" spans="1:1" ht="15.75">
      <c r="A58" s="2" t="s">
        <v>61</v>
      </c>
    </row>
    <row r="59" spans="1:1" ht="15.75">
      <c r="A59" s="2" t="s">
        <v>62</v>
      </c>
    </row>
    <row r="60" spans="1:1" ht="15.75">
      <c r="A60" s="2" t="s">
        <v>63</v>
      </c>
    </row>
    <row r="61" spans="1:1" ht="15.75">
      <c r="A61" s="2" t="s">
        <v>64</v>
      </c>
    </row>
    <row r="62" spans="1:1" ht="15.75">
      <c r="A62" s="2" t="s">
        <v>65</v>
      </c>
    </row>
    <row r="63" spans="1:1" ht="15.75">
      <c r="A63" s="2" t="s">
        <v>66</v>
      </c>
    </row>
    <row r="64" spans="1:1" ht="15.75">
      <c r="A64" s="2" t="s">
        <v>67</v>
      </c>
    </row>
    <row r="65" spans="1:1" ht="15.75">
      <c r="A65" s="2" t="s">
        <v>68</v>
      </c>
    </row>
    <row r="66" spans="1:1" ht="15.75">
      <c r="A66" s="2" t="s">
        <v>69</v>
      </c>
    </row>
    <row r="67" spans="1:1" ht="15.75">
      <c r="A67" s="2" t="s">
        <v>70</v>
      </c>
    </row>
    <row r="68" spans="1:1" ht="15.75">
      <c r="A68" s="2" t="s">
        <v>71</v>
      </c>
    </row>
    <row r="69" spans="1:1" ht="15.75">
      <c r="A69" s="2" t="s">
        <v>72</v>
      </c>
    </row>
    <row r="70" spans="1:1" ht="15.75">
      <c r="A70" s="2" t="s">
        <v>73</v>
      </c>
    </row>
    <row r="71" spans="1:1" ht="15.75">
      <c r="A71" s="2" t="s">
        <v>74</v>
      </c>
    </row>
    <row r="72" spans="1:1" ht="15.75">
      <c r="A72" s="2" t="s">
        <v>6</v>
      </c>
    </row>
    <row r="73" spans="1:1" ht="15.75">
      <c r="A73" s="2" t="s">
        <v>75</v>
      </c>
    </row>
    <row r="74" spans="1:1" ht="15.75">
      <c r="A74" s="2" t="s">
        <v>76</v>
      </c>
    </row>
    <row r="75" spans="1:1" ht="15.75">
      <c r="A75" s="2" t="s">
        <v>7</v>
      </c>
    </row>
    <row r="76" spans="1:1" ht="15.75">
      <c r="A76" s="2" t="s">
        <v>77</v>
      </c>
    </row>
    <row r="77" spans="1:1" ht="15.75">
      <c r="A77" s="2" t="s">
        <v>78</v>
      </c>
    </row>
    <row r="78" spans="1:1" ht="15.75">
      <c r="A78" s="2" t="s">
        <v>12</v>
      </c>
    </row>
    <row r="79" spans="1:1" ht="15.75">
      <c r="A79" s="2" t="s">
        <v>79</v>
      </c>
    </row>
    <row r="80" spans="1:1" ht="15.75">
      <c r="A80" s="2" t="s">
        <v>80</v>
      </c>
    </row>
    <row r="81" spans="1:1" ht="15.75">
      <c r="A81" s="2" t="s">
        <v>81</v>
      </c>
    </row>
    <row r="82" spans="1:1" ht="15.75">
      <c r="A82" s="2" t="s">
        <v>82</v>
      </c>
    </row>
    <row r="83" spans="1:1" ht="15.75">
      <c r="A83" s="2" t="s">
        <v>83</v>
      </c>
    </row>
    <row r="84" spans="1:1" ht="15.75">
      <c r="A84" s="2" t="s">
        <v>84</v>
      </c>
    </row>
    <row r="85" spans="1:1" ht="15.75">
      <c r="A85" s="2" t="s">
        <v>85</v>
      </c>
    </row>
    <row r="86" spans="1:1" ht="15.75">
      <c r="A86" s="2" t="s">
        <v>86</v>
      </c>
    </row>
    <row r="87" spans="1:1" ht="15.75">
      <c r="A87" s="2" t="s">
        <v>87</v>
      </c>
    </row>
    <row r="88" spans="1:1" ht="15.75">
      <c r="A88" s="2" t="s">
        <v>88</v>
      </c>
    </row>
    <row r="89" spans="1:1" ht="15.75">
      <c r="A89" s="2" t="s">
        <v>89</v>
      </c>
    </row>
    <row r="90" spans="1:1" ht="15.75">
      <c r="A90" s="2" t="s">
        <v>90</v>
      </c>
    </row>
    <row r="91" spans="1:1" ht="15.75">
      <c r="A91" s="2" t="s">
        <v>91</v>
      </c>
    </row>
    <row r="92" spans="1:1" ht="15.75">
      <c r="A92" s="2" t="s">
        <v>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502"/>
  <sheetViews>
    <sheetView tabSelected="1" zoomScale="85" zoomScaleNormal="85" workbookViewId="0">
      <selection activeCell="E475" sqref="A38:E475"/>
    </sheetView>
  </sheetViews>
  <sheetFormatPr defaultRowHeight="15"/>
  <cols>
    <col min="2" max="2" width="15.28515625" bestFit="1" customWidth="1"/>
    <col min="3" max="4" width="12.28515625" bestFit="1" customWidth="1"/>
  </cols>
  <sheetData>
    <row r="1" spans="1:5">
      <c r="A1" t="s">
        <v>1088</v>
      </c>
      <c r="B1" t="s">
        <v>587</v>
      </c>
      <c r="D1">
        <v>100000</v>
      </c>
    </row>
    <row r="2" spans="1:5">
      <c r="A2" t="s">
        <v>95</v>
      </c>
      <c r="B2" t="s">
        <v>593</v>
      </c>
      <c r="C2">
        <f>IF(RIGHT(B2,1)="B",LEFT(B2,LEN(B2)-1)*1000000000,LEFT(B2,LEN(B2)-1)*1000000)</f>
        <v>53123000000</v>
      </c>
      <c r="D2">
        <f>C2/$D$1</f>
        <v>531230</v>
      </c>
      <c r="E2">
        <f>D2/$D$502</f>
        <v>4.8830083662755397E-3</v>
      </c>
    </row>
    <row r="3" spans="1:5">
      <c r="A3" t="s">
        <v>96</v>
      </c>
      <c r="B3" t="s">
        <v>594</v>
      </c>
      <c r="C3">
        <f t="shared" ref="C3:C66" si="0">IF(RIGHT(B3,1)="B",LEFT(B3,LEN(B3)-1)*1000000000,LEFT(B3,LEN(B3)-1)*1000000)</f>
        <v>20406000000</v>
      </c>
      <c r="D3">
        <f t="shared" ref="D3:D66" si="1">C3/$D$1</f>
        <v>204060</v>
      </c>
      <c r="E3">
        <f t="shared" ref="E3:E66" si="2">D3/$D$502</f>
        <v>1.8756973198467454E-3</v>
      </c>
    </row>
    <row r="4" spans="1:5">
      <c r="A4" t="s">
        <v>97</v>
      </c>
      <c r="B4" t="s">
        <v>595</v>
      </c>
      <c r="C4">
        <f t="shared" si="0"/>
        <v>80335000000</v>
      </c>
      <c r="D4">
        <f t="shared" si="1"/>
        <v>803350</v>
      </c>
      <c r="E4">
        <f t="shared" si="2"/>
        <v>7.3843058017195084E-3</v>
      </c>
    </row>
    <row r="5" spans="1:5">
      <c r="A5" t="s">
        <v>98</v>
      </c>
      <c r="B5" t="s">
        <v>596</v>
      </c>
      <c r="C5">
        <f t="shared" si="0"/>
        <v>5925000000</v>
      </c>
      <c r="D5">
        <f t="shared" si="1"/>
        <v>59250</v>
      </c>
      <c r="E5">
        <f t="shared" si="2"/>
        <v>5.4461955405723649E-4</v>
      </c>
    </row>
    <row r="6" spans="1:5">
      <c r="A6" t="s">
        <v>99</v>
      </c>
      <c r="B6" t="s">
        <v>590</v>
      </c>
      <c r="C6">
        <f t="shared" si="0"/>
        <v>12621000000</v>
      </c>
      <c r="D6">
        <f t="shared" si="1"/>
        <v>126210</v>
      </c>
      <c r="E6">
        <f t="shared" si="2"/>
        <v>1.1601085893259715E-3</v>
      </c>
    </row>
    <row r="7" spans="1:5">
      <c r="A7" t="s">
        <v>100</v>
      </c>
      <c r="B7" t="s">
        <v>591</v>
      </c>
      <c r="C7">
        <f t="shared" si="0"/>
        <v>4324000000</v>
      </c>
      <c r="D7">
        <f t="shared" si="1"/>
        <v>43240</v>
      </c>
      <c r="E7">
        <f t="shared" si="2"/>
        <v>3.9745737582168615E-4</v>
      </c>
    </row>
    <row r="8" spans="1:5">
      <c r="A8" t="s">
        <v>101</v>
      </c>
      <c r="B8" t="s">
        <v>592</v>
      </c>
      <c r="C8">
        <f t="shared" si="0"/>
        <v>7957000000</v>
      </c>
      <c r="D8">
        <f t="shared" si="1"/>
        <v>79570</v>
      </c>
      <c r="E8">
        <f t="shared" si="2"/>
        <v>7.3139878339804735E-4</v>
      </c>
    </row>
    <row r="9" spans="1:5">
      <c r="A9" t="s">
        <v>102</v>
      </c>
      <c r="B9" t="s">
        <v>597</v>
      </c>
      <c r="C9">
        <f t="shared" si="0"/>
        <v>14267000000</v>
      </c>
      <c r="D9">
        <f t="shared" si="1"/>
        <v>142670</v>
      </c>
      <c r="E9">
        <f t="shared" si="2"/>
        <v>1.3114071186049944E-3</v>
      </c>
    </row>
    <row r="10" spans="1:5">
      <c r="A10" t="s">
        <v>103</v>
      </c>
      <c r="B10" t="s">
        <v>598</v>
      </c>
      <c r="C10">
        <f t="shared" si="0"/>
        <v>15925000000</v>
      </c>
      <c r="D10">
        <f t="shared" si="1"/>
        <v>159250</v>
      </c>
      <c r="E10">
        <f t="shared" si="2"/>
        <v>1.4638086748289434E-3</v>
      </c>
    </row>
    <row r="11" spans="1:5">
      <c r="A11" t="s">
        <v>104</v>
      </c>
      <c r="B11" t="s">
        <v>599</v>
      </c>
      <c r="C11">
        <f t="shared" si="0"/>
        <v>11236000000</v>
      </c>
      <c r="D11">
        <f t="shared" si="1"/>
        <v>112360</v>
      </c>
      <c r="E11">
        <f t="shared" si="2"/>
        <v>1.0328008960990901E-3</v>
      </c>
    </row>
    <row r="12" spans="1:5">
      <c r="A12" t="s">
        <v>105</v>
      </c>
      <c r="B12" t="s">
        <v>600</v>
      </c>
      <c r="C12">
        <f t="shared" si="0"/>
        <v>17059000000.000002</v>
      </c>
      <c r="D12">
        <f t="shared" si="1"/>
        <v>170590.00000000003</v>
      </c>
      <c r="E12">
        <f t="shared" si="2"/>
        <v>1.5680447211244553E-3</v>
      </c>
    </row>
    <row r="13" spans="1:5">
      <c r="A13" t="s">
        <v>106</v>
      </c>
      <c r="B13" t="s">
        <v>601</v>
      </c>
      <c r="C13">
        <f t="shared" si="0"/>
        <v>5060000000</v>
      </c>
      <c r="D13">
        <f t="shared" si="1"/>
        <v>50600</v>
      </c>
      <c r="E13">
        <f t="shared" si="2"/>
        <v>4.6510969511048378E-4</v>
      </c>
    </row>
    <row r="14" spans="1:5">
      <c r="A14" t="s">
        <v>107</v>
      </c>
      <c r="B14" t="s">
        <v>602</v>
      </c>
      <c r="C14">
        <f t="shared" si="0"/>
        <v>760900000</v>
      </c>
      <c r="D14">
        <f t="shared" si="1"/>
        <v>7609</v>
      </c>
      <c r="E14">
        <f t="shared" si="2"/>
        <v>6.9941100199519187E-5</v>
      </c>
    </row>
    <row r="15" spans="1:5">
      <c r="A15" t="s">
        <v>108</v>
      </c>
      <c r="B15" t="s">
        <v>603</v>
      </c>
      <c r="C15">
        <f t="shared" si="0"/>
        <v>3951000000</v>
      </c>
      <c r="D15">
        <f t="shared" si="1"/>
        <v>39510</v>
      </c>
      <c r="E15">
        <f t="shared" si="2"/>
        <v>3.6317162161690148E-4</v>
      </c>
    </row>
    <row r="16" spans="1:5">
      <c r="A16" t="s">
        <v>109</v>
      </c>
      <c r="B16" t="s">
        <v>604</v>
      </c>
      <c r="C16">
        <f t="shared" si="0"/>
        <v>10825000000</v>
      </c>
      <c r="D16">
        <f t="shared" si="1"/>
        <v>108250</v>
      </c>
      <c r="E16">
        <f t="shared" si="2"/>
        <v>9.9502222323537282E-4</v>
      </c>
    </row>
    <row r="17" spans="1:5">
      <c r="A17" t="s">
        <v>110</v>
      </c>
      <c r="B17" t="s">
        <v>605</v>
      </c>
      <c r="C17">
        <f t="shared" si="0"/>
        <v>4283000000.0000005</v>
      </c>
      <c r="D17">
        <f t="shared" si="1"/>
        <v>42830.000000000007</v>
      </c>
      <c r="E17">
        <f t="shared" si="2"/>
        <v>3.9368870042652218E-4</v>
      </c>
    </row>
    <row r="18" spans="1:5">
      <c r="A18" t="s">
        <v>111</v>
      </c>
      <c r="B18" t="s">
        <v>606</v>
      </c>
      <c r="C18">
        <f t="shared" si="0"/>
        <v>26003000000</v>
      </c>
      <c r="D18">
        <f t="shared" si="1"/>
        <v>260030</v>
      </c>
      <c r="E18">
        <f t="shared" si="2"/>
        <v>2.39016747074267E-3</v>
      </c>
    </row>
    <row r="19" spans="1:5">
      <c r="A19" t="s">
        <v>112</v>
      </c>
      <c r="B19" t="s">
        <v>607</v>
      </c>
      <c r="C19">
        <f t="shared" si="0"/>
        <v>12300000000</v>
      </c>
      <c r="D19">
        <f t="shared" si="1"/>
        <v>123000</v>
      </c>
      <c r="E19">
        <f t="shared" si="2"/>
        <v>1.1306026185491998E-3</v>
      </c>
    </row>
    <row r="20" spans="1:5">
      <c r="A20" t="s">
        <v>113</v>
      </c>
      <c r="B20" t="s">
        <v>608</v>
      </c>
      <c r="C20">
        <f t="shared" si="0"/>
        <v>11308000000</v>
      </c>
      <c r="D20">
        <f t="shared" si="1"/>
        <v>113080</v>
      </c>
      <c r="E20">
        <f t="shared" si="2"/>
        <v>1.0394190577686464E-3</v>
      </c>
    </row>
    <row r="21" spans="1:5">
      <c r="A21" t="s">
        <v>114</v>
      </c>
      <c r="B21" t="s">
        <v>609</v>
      </c>
      <c r="C21">
        <f t="shared" si="0"/>
        <v>54722000000</v>
      </c>
      <c r="D21">
        <f t="shared" si="1"/>
        <v>547220</v>
      </c>
      <c r="E21">
        <f t="shared" si="2"/>
        <v>5.0299867066869357E-3</v>
      </c>
    </row>
    <row r="22" spans="1:5">
      <c r="A22" t="s">
        <v>3</v>
      </c>
      <c r="B22" t="s">
        <v>610</v>
      </c>
      <c r="C22">
        <f t="shared" si="0"/>
        <v>106200000000</v>
      </c>
      <c r="D22">
        <f t="shared" si="1"/>
        <v>1062000</v>
      </c>
      <c r="E22">
        <f t="shared" si="2"/>
        <v>9.7617884625955283E-3</v>
      </c>
    </row>
    <row r="23" spans="1:5">
      <c r="A23" t="s">
        <v>115</v>
      </c>
      <c r="B23" t="s">
        <v>611</v>
      </c>
      <c r="C23">
        <f t="shared" si="0"/>
        <v>7394000000</v>
      </c>
      <c r="D23">
        <f t="shared" si="1"/>
        <v>73940</v>
      </c>
      <c r="E23">
        <f t="shared" si="2"/>
        <v>6.7964843589860024E-4</v>
      </c>
    </row>
    <row r="24" spans="1:5">
      <c r="A24" t="s">
        <v>116</v>
      </c>
      <c r="B24" t="s">
        <v>612</v>
      </c>
      <c r="C24">
        <f t="shared" si="0"/>
        <v>18437000000</v>
      </c>
      <c r="D24">
        <f t="shared" si="1"/>
        <v>184370</v>
      </c>
      <c r="E24">
        <f t="shared" si="2"/>
        <v>1.6947089819667964E-3</v>
      </c>
    </row>
    <row r="25" spans="1:5">
      <c r="A25" t="s">
        <v>117</v>
      </c>
      <c r="B25" t="s">
        <v>613</v>
      </c>
      <c r="C25">
        <f t="shared" si="0"/>
        <v>56746000000</v>
      </c>
      <c r="D25">
        <f t="shared" si="1"/>
        <v>567460</v>
      </c>
      <c r="E25">
        <f t="shared" si="2"/>
        <v>5.2160305847311289E-3</v>
      </c>
    </row>
    <row r="26" spans="1:5">
      <c r="A26" t="s">
        <v>118</v>
      </c>
      <c r="B26" t="s">
        <v>614</v>
      </c>
      <c r="C26">
        <f t="shared" si="0"/>
        <v>44526000000</v>
      </c>
      <c r="D26">
        <f t="shared" si="1"/>
        <v>445260</v>
      </c>
      <c r="E26">
        <f t="shared" si="2"/>
        <v>4.0927814791481025E-3</v>
      </c>
    </row>
    <row r="27" spans="1:5">
      <c r="A27" t="s">
        <v>119</v>
      </c>
      <c r="B27" t="s">
        <v>615</v>
      </c>
      <c r="C27">
        <f t="shared" si="0"/>
        <v>21481000000</v>
      </c>
      <c r="D27">
        <f t="shared" si="1"/>
        <v>214810</v>
      </c>
      <c r="E27">
        <f t="shared" si="2"/>
        <v>1.974510150329704E-3</v>
      </c>
    </row>
    <row r="28" spans="1:5">
      <c r="A28" t="s">
        <v>120</v>
      </c>
      <c r="B28" t="s">
        <v>616</v>
      </c>
      <c r="C28">
        <f t="shared" si="0"/>
        <v>9594000000</v>
      </c>
      <c r="D28">
        <f t="shared" si="1"/>
        <v>95940</v>
      </c>
      <c r="E28">
        <f t="shared" si="2"/>
        <v>8.8187004246837581E-4</v>
      </c>
    </row>
    <row r="29" spans="1:5">
      <c r="A29" t="s">
        <v>121</v>
      </c>
      <c r="B29" t="s">
        <v>617</v>
      </c>
      <c r="C29">
        <f t="shared" si="0"/>
        <v>10466000000</v>
      </c>
      <c r="D29">
        <f t="shared" si="1"/>
        <v>104660</v>
      </c>
      <c r="E29">
        <f t="shared" si="2"/>
        <v>9.6202333379966857E-4</v>
      </c>
    </row>
    <row r="30" spans="1:5">
      <c r="A30" t="s">
        <v>122</v>
      </c>
      <c r="B30" t="s">
        <v>618</v>
      </c>
      <c r="C30">
        <f t="shared" si="0"/>
        <v>52294000000</v>
      </c>
      <c r="D30">
        <f t="shared" si="1"/>
        <v>522940</v>
      </c>
      <c r="E30">
        <f t="shared" si="2"/>
        <v>4.8068075881635653E-3</v>
      </c>
    </row>
    <row r="31" spans="1:5">
      <c r="A31" t="s">
        <v>123</v>
      </c>
      <c r="B31" t="s">
        <v>619</v>
      </c>
      <c r="C31">
        <f t="shared" si="0"/>
        <v>7359000000</v>
      </c>
      <c r="D31">
        <f t="shared" si="1"/>
        <v>73590</v>
      </c>
      <c r="E31">
        <f t="shared" si="2"/>
        <v>6.7643127397589928E-4</v>
      </c>
    </row>
    <row r="32" spans="1:5">
      <c r="A32" t="s">
        <v>124</v>
      </c>
      <c r="B32" t="s">
        <v>620</v>
      </c>
      <c r="C32">
        <f t="shared" si="0"/>
        <v>35190000000</v>
      </c>
      <c r="D32">
        <f t="shared" si="1"/>
        <v>351900</v>
      </c>
      <c r="E32">
        <f t="shared" si="2"/>
        <v>3.2346265159956373E-3</v>
      </c>
    </row>
    <row r="33" spans="1:5">
      <c r="A33" t="s">
        <v>125</v>
      </c>
      <c r="B33" t="s">
        <v>621</v>
      </c>
      <c r="C33">
        <f t="shared" si="0"/>
        <v>9883000000</v>
      </c>
      <c r="D33">
        <f t="shared" si="1"/>
        <v>98830</v>
      </c>
      <c r="E33">
        <f t="shared" si="2"/>
        <v>9.0843460805867813E-4</v>
      </c>
    </row>
    <row r="34" spans="1:5">
      <c r="A34" t="s">
        <v>126</v>
      </c>
      <c r="B34" t="s">
        <v>622</v>
      </c>
      <c r="C34">
        <f t="shared" si="0"/>
        <v>13332000000</v>
      </c>
      <c r="D34">
        <f t="shared" si="1"/>
        <v>133320</v>
      </c>
      <c r="E34">
        <f t="shared" si="2"/>
        <v>1.2254629358128398E-3</v>
      </c>
    </row>
    <row r="35" spans="1:5">
      <c r="A35" t="s">
        <v>127</v>
      </c>
      <c r="B35" t="s">
        <v>623</v>
      </c>
      <c r="C35">
        <f t="shared" si="0"/>
        <v>32691000000.000004</v>
      </c>
      <c r="D35">
        <f t="shared" si="1"/>
        <v>326910.00000000006</v>
      </c>
      <c r="E35">
        <f t="shared" si="2"/>
        <v>3.0049211547147881E-3</v>
      </c>
    </row>
    <row r="36" spans="1:5">
      <c r="A36" t="s">
        <v>128</v>
      </c>
      <c r="B36" t="s">
        <v>624</v>
      </c>
      <c r="C36">
        <f t="shared" si="0"/>
        <v>2829000000</v>
      </c>
      <c r="D36">
        <f t="shared" si="1"/>
        <v>28290</v>
      </c>
      <c r="E36">
        <f t="shared" si="2"/>
        <v>2.6003860226631595E-4</v>
      </c>
    </row>
    <row r="37" spans="1:5">
      <c r="A37" t="s">
        <v>129</v>
      </c>
      <c r="B37" t="s">
        <v>625</v>
      </c>
      <c r="C37">
        <f t="shared" si="0"/>
        <v>5826000000</v>
      </c>
      <c r="D37">
        <f t="shared" si="1"/>
        <v>58260</v>
      </c>
      <c r="E37">
        <f t="shared" si="2"/>
        <v>5.355195817615965E-4</v>
      </c>
    </row>
    <row r="38" spans="1:5">
      <c r="A38" t="s">
        <v>2</v>
      </c>
      <c r="B38" t="s">
        <v>626</v>
      </c>
      <c r="C38">
        <f t="shared" si="0"/>
        <v>370900000000</v>
      </c>
      <c r="D38">
        <f t="shared" si="1"/>
        <v>3709000</v>
      </c>
      <c r="E38">
        <f t="shared" si="2"/>
        <v>3.4092724489422618E-2</v>
      </c>
    </row>
    <row r="39" spans="1:5">
      <c r="A39" t="s">
        <v>130</v>
      </c>
      <c r="B39" t="s">
        <v>627</v>
      </c>
      <c r="C39">
        <f t="shared" si="0"/>
        <v>14150000000</v>
      </c>
      <c r="D39">
        <f t="shared" si="1"/>
        <v>141500</v>
      </c>
      <c r="E39">
        <f t="shared" si="2"/>
        <v>1.3006526058919655E-3</v>
      </c>
    </row>
    <row r="40" spans="1:5">
      <c r="A40" t="s">
        <v>131</v>
      </c>
      <c r="B40" t="s">
        <v>628</v>
      </c>
      <c r="C40">
        <f t="shared" si="0"/>
        <v>17341000000</v>
      </c>
      <c r="D40">
        <f t="shared" si="1"/>
        <v>173410</v>
      </c>
      <c r="E40">
        <f t="shared" si="2"/>
        <v>1.5939658543302172E-3</v>
      </c>
    </row>
    <row r="41" spans="1:5">
      <c r="A41" t="s">
        <v>132</v>
      </c>
      <c r="B41" t="s">
        <v>629</v>
      </c>
      <c r="C41">
        <f t="shared" si="0"/>
        <v>3353000000</v>
      </c>
      <c r="D41">
        <f t="shared" si="1"/>
        <v>33530</v>
      </c>
      <c r="E41">
        <f t="shared" si="2"/>
        <v>3.082041121947534E-4</v>
      </c>
    </row>
    <row r="42" spans="1:5">
      <c r="A42" t="s">
        <v>133</v>
      </c>
      <c r="B42" t="s">
        <v>630</v>
      </c>
      <c r="C42">
        <f t="shared" si="0"/>
        <v>171200000000</v>
      </c>
      <c r="D42">
        <f t="shared" si="1"/>
        <v>1712000</v>
      </c>
      <c r="E42">
        <f t="shared" si="2"/>
        <v>1.5736517747611624E-2</v>
      </c>
    </row>
    <row r="43" spans="1:5">
      <c r="A43" t="s">
        <v>134</v>
      </c>
      <c r="B43" t="s">
        <v>631</v>
      </c>
      <c r="C43">
        <f t="shared" si="0"/>
        <v>6687000000</v>
      </c>
      <c r="D43">
        <f t="shared" si="1"/>
        <v>66870</v>
      </c>
      <c r="E43">
        <f t="shared" si="2"/>
        <v>6.1466176506004056E-4</v>
      </c>
    </row>
    <row r="44" spans="1:5">
      <c r="A44" t="s">
        <v>135</v>
      </c>
      <c r="B44" t="s">
        <v>632</v>
      </c>
      <c r="C44">
        <f t="shared" si="0"/>
        <v>23568000000</v>
      </c>
      <c r="D44">
        <f t="shared" si="1"/>
        <v>235680</v>
      </c>
      <c r="E44">
        <f t="shared" si="2"/>
        <v>2.1663449198347593E-3</v>
      </c>
    </row>
    <row r="45" spans="1:5">
      <c r="A45" t="s">
        <v>136</v>
      </c>
      <c r="B45" t="s">
        <v>633</v>
      </c>
      <c r="C45">
        <f t="shared" si="0"/>
        <v>5013000000</v>
      </c>
      <c r="D45">
        <f t="shared" si="1"/>
        <v>50130</v>
      </c>
      <c r="E45">
        <f t="shared" si="2"/>
        <v>4.6078950624285674E-4</v>
      </c>
    </row>
    <row r="46" spans="1:5">
      <c r="A46" t="s">
        <v>137</v>
      </c>
      <c r="B46" t="s">
        <v>634</v>
      </c>
      <c r="C46">
        <f t="shared" si="0"/>
        <v>13041000000</v>
      </c>
      <c r="D46">
        <f t="shared" si="1"/>
        <v>130410</v>
      </c>
      <c r="E46">
        <f t="shared" si="2"/>
        <v>1.1987145323983832E-3</v>
      </c>
    </row>
    <row r="47" spans="1:5">
      <c r="A47" t="s">
        <v>138</v>
      </c>
      <c r="B47" t="s">
        <v>635</v>
      </c>
      <c r="C47">
        <f t="shared" si="0"/>
        <v>10652000000</v>
      </c>
      <c r="D47">
        <f t="shared" si="1"/>
        <v>106520</v>
      </c>
      <c r="E47">
        <f t="shared" si="2"/>
        <v>9.7912025144602241E-4</v>
      </c>
    </row>
    <row r="48" spans="1:5">
      <c r="A48" t="s">
        <v>139</v>
      </c>
      <c r="B48" t="s">
        <v>636</v>
      </c>
      <c r="C48">
        <f t="shared" si="0"/>
        <v>2761000000</v>
      </c>
      <c r="D48">
        <f t="shared" si="1"/>
        <v>27610</v>
      </c>
      <c r="E48">
        <f t="shared" si="2"/>
        <v>2.5378811624506833E-4</v>
      </c>
    </row>
    <row r="49" spans="1:5">
      <c r="A49" t="s">
        <v>140</v>
      </c>
      <c r="B49" t="s">
        <v>637</v>
      </c>
      <c r="C49">
        <f t="shared" si="0"/>
        <v>8545000000</v>
      </c>
      <c r="D49">
        <f t="shared" si="1"/>
        <v>85450</v>
      </c>
      <c r="E49">
        <f t="shared" si="2"/>
        <v>7.8544710369942371E-4</v>
      </c>
    </row>
    <row r="50" spans="1:5">
      <c r="A50" t="s">
        <v>141</v>
      </c>
      <c r="B50" t="s">
        <v>638</v>
      </c>
      <c r="C50">
        <f t="shared" si="0"/>
        <v>22194000000</v>
      </c>
      <c r="D50">
        <f t="shared" si="1"/>
        <v>221940</v>
      </c>
      <c r="E50">
        <f t="shared" si="2"/>
        <v>2.0400483346407266E-3</v>
      </c>
    </row>
    <row r="51" spans="1:5">
      <c r="A51" t="s">
        <v>142</v>
      </c>
      <c r="B51" t="s">
        <v>639</v>
      </c>
      <c r="C51">
        <f t="shared" si="0"/>
        <v>5194000000</v>
      </c>
      <c r="D51">
        <f t="shared" si="1"/>
        <v>51940</v>
      </c>
      <c r="E51">
        <f t="shared" si="2"/>
        <v>4.7742682932882467E-4</v>
      </c>
    </row>
    <row r="52" spans="1:5">
      <c r="A52" t="s">
        <v>5</v>
      </c>
      <c r="B52" t="s">
        <v>640</v>
      </c>
      <c r="C52">
        <f t="shared" si="0"/>
        <v>65164000000</v>
      </c>
      <c r="D52">
        <f t="shared" si="1"/>
        <v>651640</v>
      </c>
      <c r="E52">
        <f t="shared" si="2"/>
        <v>5.9898039865967515E-3</v>
      </c>
    </row>
    <row r="53" spans="1:5">
      <c r="A53" t="s">
        <v>143</v>
      </c>
      <c r="B53" t="s">
        <v>641</v>
      </c>
      <c r="C53">
        <f t="shared" si="0"/>
        <v>23581000000</v>
      </c>
      <c r="D53">
        <f t="shared" si="1"/>
        <v>235810</v>
      </c>
      <c r="E53">
        <f t="shared" si="2"/>
        <v>2.1675398656917626E-3</v>
      </c>
    </row>
    <row r="54" spans="1:5">
      <c r="A54" t="s">
        <v>144</v>
      </c>
      <c r="B54" t="s">
        <v>642</v>
      </c>
      <c r="C54">
        <f t="shared" si="0"/>
        <v>7694000000</v>
      </c>
      <c r="D54">
        <f t="shared" si="1"/>
        <v>76940</v>
      </c>
      <c r="E54">
        <f t="shared" si="2"/>
        <v>7.0722410952175137E-4</v>
      </c>
    </row>
    <row r="55" spans="1:5">
      <c r="A55" t="s">
        <v>145</v>
      </c>
      <c r="B55" t="s">
        <v>643</v>
      </c>
      <c r="C55">
        <f t="shared" si="0"/>
        <v>31709000000</v>
      </c>
      <c r="D55">
        <f t="shared" si="1"/>
        <v>317090</v>
      </c>
      <c r="E55">
        <f t="shared" si="2"/>
        <v>2.9146567830550061E-3</v>
      </c>
    </row>
    <row r="56" spans="1:5">
      <c r="A56" t="s">
        <v>146</v>
      </c>
      <c r="B56" t="s">
        <v>644</v>
      </c>
      <c r="C56">
        <f t="shared" si="0"/>
        <v>15363000000</v>
      </c>
      <c r="D56">
        <f t="shared" si="1"/>
        <v>153630</v>
      </c>
      <c r="E56">
        <f t="shared" si="2"/>
        <v>1.4121502462415736E-3</v>
      </c>
    </row>
    <row r="57" spans="1:5">
      <c r="A57" t="s">
        <v>147</v>
      </c>
      <c r="B57" t="s">
        <v>645</v>
      </c>
      <c r="C57">
        <f t="shared" si="0"/>
        <v>16087000000</v>
      </c>
      <c r="D57">
        <f t="shared" si="1"/>
        <v>160870</v>
      </c>
      <c r="E57">
        <f t="shared" si="2"/>
        <v>1.4786995385854451E-3</v>
      </c>
    </row>
    <row r="58" spans="1:5">
      <c r="A58" t="s">
        <v>148</v>
      </c>
      <c r="B58" t="s">
        <v>646</v>
      </c>
      <c r="C58">
        <f t="shared" si="0"/>
        <v>14534000000</v>
      </c>
      <c r="D58">
        <f t="shared" si="1"/>
        <v>145340</v>
      </c>
      <c r="E58">
        <f t="shared" si="2"/>
        <v>1.335949468129599E-3</v>
      </c>
    </row>
    <row r="59" spans="1:5">
      <c r="A59" t="s">
        <v>149</v>
      </c>
      <c r="B59" t="s">
        <v>647</v>
      </c>
      <c r="C59">
        <f t="shared" si="0"/>
        <v>3129000000</v>
      </c>
      <c r="D59">
        <f t="shared" si="1"/>
        <v>31290</v>
      </c>
      <c r="E59">
        <f t="shared" si="2"/>
        <v>2.8761427588946714E-4</v>
      </c>
    </row>
    <row r="60" spans="1:5">
      <c r="A60" t="s">
        <v>588</v>
      </c>
      <c r="B60" t="s">
        <v>648</v>
      </c>
      <c r="C60">
        <f t="shared" si="0"/>
        <v>119300000</v>
      </c>
      <c r="D60">
        <f t="shared" si="1"/>
        <v>1193</v>
      </c>
      <c r="E60">
        <f t="shared" si="2"/>
        <v>1.0965926210806465E-5</v>
      </c>
    </row>
    <row r="61" spans="1:5">
      <c r="A61" t="s">
        <v>150</v>
      </c>
      <c r="B61" t="s">
        <v>649</v>
      </c>
      <c r="C61">
        <f t="shared" si="0"/>
        <v>9193000000</v>
      </c>
      <c r="D61">
        <f t="shared" si="1"/>
        <v>91930</v>
      </c>
      <c r="E61">
        <f t="shared" si="2"/>
        <v>8.4501055872543028E-4</v>
      </c>
    </row>
    <row r="62" spans="1:5">
      <c r="A62" t="s">
        <v>151</v>
      </c>
      <c r="B62" t="s">
        <v>650</v>
      </c>
      <c r="C62">
        <f t="shared" si="0"/>
        <v>2318000000</v>
      </c>
      <c r="D62">
        <f t="shared" si="1"/>
        <v>23180</v>
      </c>
      <c r="E62">
        <f t="shared" si="2"/>
        <v>2.1306803819488171E-4</v>
      </c>
    </row>
    <row r="63" spans="1:5">
      <c r="A63" t="s">
        <v>152</v>
      </c>
      <c r="B63" t="s">
        <v>651</v>
      </c>
      <c r="C63">
        <f t="shared" si="0"/>
        <v>23663000000</v>
      </c>
      <c r="D63">
        <f t="shared" si="1"/>
        <v>236630</v>
      </c>
      <c r="E63">
        <f t="shared" si="2"/>
        <v>2.1750772164820906E-3</v>
      </c>
    </row>
    <row r="64" spans="1:5">
      <c r="A64" t="s">
        <v>153</v>
      </c>
      <c r="B64" t="s">
        <v>652</v>
      </c>
      <c r="C64">
        <f t="shared" si="0"/>
        <v>26795000000</v>
      </c>
      <c r="D64">
        <f t="shared" si="1"/>
        <v>267950</v>
      </c>
      <c r="E64">
        <f t="shared" si="2"/>
        <v>2.462967249107789E-3</v>
      </c>
    </row>
    <row r="65" spans="1:5">
      <c r="A65" t="s">
        <v>154</v>
      </c>
      <c r="B65" t="s">
        <v>653</v>
      </c>
      <c r="C65">
        <f t="shared" si="0"/>
        <v>4192000000</v>
      </c>
      <c r="D65">
        <f t="shared" si="1"/>
        <v>41920</v>
      </c>
      <c r="E65">
        <f t="shared" si="2"/>
        <v>3.8532407942749961E-4</v>
      </c>
    </row>
    <row r="66" spans="1:5">
      <c r="A66" t="s">
        <v>155</v>
      </c>
      <c r="B66" t="s">
        <v>654</v>
      </c>
      <c r="C66">
        <f t="shared" si="0"/>
        <v>7028000000</v>
      </c>
      <c r="D66">
        <f t="shared" si="1"/>
        <v>70280</v>
      </c>
      <c r="E66">
        <f t="shared" si="2"/>
        <v>6.4600611407835578E-4</v>
      </c>
    </row>
    <row r="67" spans="1:5">
      <c r="A67" t="s">
        <v>156</v>
      </c>
      <c r="B67" t="s">
        <v>655</v>
      </c>
      <c r="C67">
        <f t="shared" ref="C67:C130" si="3">IF(RIGHT(B67,1)="B",LEFT(B67,LEN(B67)-1)*1000000000,LEFT(B67,LEN(B67)-1)*1000000)</f>
        <v>46726000000</v>
      </c>
      <c r="D67">
        <f t="shared" ref="D67:D130" si="4">C67/$D$1</f>
        <v>467260</v>
      </c>
      <c r="E67">
        <f t="shared" ref="E67:E130" si="5">D67/$D$502</f>
        <v>4.2950030857178785E-3</v>
      </c>
    </row>
    <row r="68" spans="1:5">
      <c r="A68" t="s">
        <v>157</v>
      </c>
      <c r="B68" t="s">
        <v>656</v>
      </c>
      <c r="C68">
        <f t="shared" si="3"/>
        <v>13606000000</v>
      </c>
      <c r="D68">
        <f t="shared" si="4"/>
        <v>136060</v>
      </c>
      <c r="E68">
        <f t="shared" si="5"/>
        <v>1.2506487177219845E-3</v>
      </c>
    </row>
    <row r="69" spans="1:5">
      <c r="A69" t="s">
        <v>158</v>
      </c>
      <c r="B69" t="s">
        <v>657</v>
      </c>
      <c r="C69">
        <f t="shared" si="3"/>
        <v>9352000000</v>
      </c>
      <c r="D69">
        <f t="shared" si="4"/>
        <v>93520</v>
      </c>
      <c r="E69">
        <f t="shared" si="5"/>
        <v>8.5962566574570047E-4</v>
      </c>
    </row>
    <row r="70" spans="1:5">
      <c r="A70" t="s">
        <v>159</v>
      </c>
      <c r="B70" t="s">
        <v>658</v>
      </c>
      <c r="C70">
        <f t="shared" si="3"/>
        <v>53259000000</v>
      </c>
      <c r="D70">
        <f t="shared" si="4"/>
        <v>532590</v>
      </c>
      <c r="E70">
        <f t="shared" si="5"/>
        <v>4.8955093383180343E-3</v>
      </c>
    </row>
    <row r="71" spans="1:5">
      <c r="A71" t="s">
        <v>160</v>
      </c>
      <c r="B71" t="s">
        <v>659</v>
      </c>
      <c r="C71">
        <f t="shared" si="3"/>
        <v>18629000000</v>
      </c>
      <c r="D71">
        <f t="shared" si="4"/>
        <v>186290</v>
      </c>
      <c r="E71">
        <f t="shared" si="5"/>
        <v>1.7123574130856131E-3</v>
      </c>
    </row>
    <row r="72" spans="1:5">
      <c r="A72" t="s">
        <v>589</v>
      </c>
      <c r="B72" t="s">
        <v>660</v>
      </c>
      <c r="C72">
        <f t="shared" si="3"/>
        <v>10057000000</v>
      </c>
      <c r="D72">
        <f t="shared" si="4"/>
        <v>100570</v>
      </c>
      <c r="E72">
        <f t="shared" si="5"/>
        <v>9.2442849876010584E-4</v>
      </c>
    </row>
    <row r="73" spans="1:5">
      <c r="A73" t="s">
        <v>161</v>
      </c>
      <c r="B73" t="s">
        <v>661</v>
      </c>
      <c r="C73">
        <f t="shared" si="3"/>
        <v>11389000000</v>
      </c>
      <c r="D73">
        <f t="shared" si="4"/>
        <v>113890</v>
      </c>
      <c r="E73">
        <f t="shared" si="5"/>
        <v>1.0468644896468972E-3</v>
      </c>
    </row>
    <row r="74" spans="1:5">
      <c r="A74" t="s">
        <v>162</v>
      </c>
      <c r="B74" t="s">
        <v>662</v>
      </c>
      <c r="C74">
        <f t="shared" si="3"/>
        <v>10266000000</v>
      </c>
      <c r="D74">
        <f t="shared" si="4"/>
        <v>102660</v>
      </c>
      <c r="E74">
        <f t="shared" si="5"/>
        <v>9.4363955138423452E-4</v>
      </c>
    </row>
    <row r="75" spans="1:5">
      <c r="A75" t="s">
        <v>163</v>
      </c>
      <c r="B75" t="s">
        <v>663</v>
      </c>
      <c r="C75">
        <f t="shared" si="3"/>
        <v>4976000000</v>
      </c>
      <c r="D75">
        <f t="shared" si="4"/>
        <v>49760</v>
      </c>
      <c r="E75">
        <f t="shared" si="5"/>
        <v>4.5738850649600142E-4</v>
      </c>
    </row>
    <row r="76" spans="1:5">
      <c r="A76" t="s">
        <v>164</v>
      </c>
      <c r="B76" t="s">
        <v>664</v>
      </c>
      <c r="C76">
        <f t="shared" si="3"/>
        <v>6931000000</v>
      </c>
      <c r="D76">
        <f t="shared" si="4"/>
        <v>69310</v>
      </c>
      <c r="E76">
        <f t="shared" si="5"/>
        <v>6.370899796068702E-4</v>
      </c>
    </row>
    <row r="77" spans="1:5">
      <c r="A77" t="s">
        <v>165</v>
      </c>
      <c r="B77" t="s">
        <v>665</v>
      </c>
      <c r="C77">
        <f t="shared" si="3"/>
        <v>11229000000</v>
      </c>
      <c r="D77">
        <f t="shared" si="4"/>
        <v>112290</v>
      </c>
      <c r="E77">
        <f t="shared" si="5"/>
        <v>1.03215746371455E-3</v>
      </c>
    </row>
    <row r="78" spans="1:5">
      <c r="A78" t="s">
        <v>166</v>
      </c>
      <c r="B78" t="s">
        <v>666</v>
      </c>
      <c r="C78">
        <f t="shared" si="3"/>
        <v>10387000000</v>
      </c>
      <c r="D78">
        <f t="shared" si="4"/>
        <v>103870</v>
      </c>
      <c r="E78">
        <f t="shared" si="5"/>
        <v>9.5476173974557213E-4</v>
      </c>
    </row>
    <row r="79" spans="1:5">
      <c r="A79" t="s">
        <v>167</v>
      </c>
      <c r="B79" t="s">
        <v>667</v>
      </c>
      <c r="C79">
        <f t="shared" si="3"/>
        <v>19317000000</v>
      </c>
      <c r="D79">
        <f t="shared" si="4"/>
        <v>193170</v>
      </c>
      <c r="E79">
        <f t="shared" si="5"/>
        <v>1.7755976245947065E-3</v>
      </c>
    </row>
    <row r="80" spans="1:5">
      <c r="A80" t="s">
        <v>168</v>
      </c>
      <c r="B80" t="s">
        <v>668</v>
      </c>
      <c r="C80">
        <f t="shared" si="3"/>
        <v>15128000000</v>
      </c>
      <c r="D80">
        <f t="shared" si="4"/>
        <v>151280</v>
      </c>
      <c r="E80">
        <f t="shared" si="5"/>
        <v>1.3905493019034385E-3</v>
      </c>
    </row>
    <row r="81" spans="1:5">
      <c r="A81" t="s">
        <v>169</v>
      </c>
      <c r="B81" t="s">
        <v>669</v>
      </c>
      <c r="C81">
        <f t="shared" si="3"/>
        <v>5470000000</v>
      </c>
      <c r="D81">
        <f t="shared" si="4"/>
        <v>54700</v>
      </c>
      <c r="E81">
        <f t="shared" si="5"/>
        <v>5.0279644906212376E-4</v>
      </c>
    </row>
    <row r="82" spans="1:5">
      <c r="A82" t="s">
        <v>170</v>
      </c>
      <c r="B82" t="s">
        <v>670</v>
      </c>
      <c r="C82">
        <f t="shared" si="3"/>
        <v>5594000000</v>
      </c>
      <c r="D82">
        <f t="shared" si="4"/>
        <v>55940</v>
      </c>
      <c r="E82">
        <f t="shared" si="5"/>
        <v>5.1419439415969288E-4</v>
      </c>
    </row>
    <row r="83" spans="1:5">
      <c r="A83" t="s">
        <v>171</v>
      </c>
      <c r="B83" t="s">
        <v>671</v>
      </c>
      <c r="C83">
        <f t="shared" si="3"/>
        <v>24860000000</v>
      </c>
      <c r="D83">
        <f t="shared" si="4"/>
        <v>248600</v>
      </c>
      <c r="E83">
        <f t="shared" si="5"/>
        <v>2.2851041542384636E-3</v>
      </c>
    </row>
    <row r="84" spans="1:5">
      <c r="A84" t="s">
        <v>172</v>
      </c>
      <c r="B84" t="s">
        <v>672</v>
      </c>
      <c r="C84">
        <f t="shared" si="3"/>
        <v>49825000000</v>
      </c>
      <c r="D84">
        <f t="shared" si="4"/>
        <v>498250</v>
      </c>
      <c r="E84">
        <f t="shared" si="5"/>
        <v>4.5798597942450303E-3</v>
      </c>
    </row>
    <row r="85" spans="1:5">
      <c r="A85" t="s">
        <v>173</v>
      </c>
      <c r="B85" t="s">
        <v>673</v>
      </c>
      <c r="C85">
        <f t="shared" si="3"/>
        <v>4464000000</v>
      </c>
      <c r="D85">
        <f t="shared" si="4"/>
        <v>44640</v>
      </c>
      <c r="E85">
        <f t="shared" si="5"/>
        <v>4.1032602351249005E-4</v>
      </c>
    </row>
    <row r="86" spans="1:5">
      <c r="A86" t="s">
        <v>174</v>
      </c>
      <c r="B86" t="s">
        <v>674</v>
      </c>
      <c r="C86">
        <f t="shared" si="3"/>
        <v>14664000000</v>
      </c>
      <c r="D86">
        <f t="shared" si="4"/>
        <v>146640</v>
      </c>
      <c r="E86">
        <f t="shared" si="5"/>
        <v>1.3478989266996312E-3</v>
      </c>
    </row>
    <row r="87" spans="1:5">
      <c r="A87" t="s">
        <v>175</v>
      </c>
      <c r="B87" t="s">
        <v>675</v>
      </c>
      <c r="C87">
        <f t="shared" si="3"/>
        <v>29166000000</v>
      </c>
      <c r="D87">
        <f t="shared" si="4"/>
        <v>291660</v>
      </c>
      <c r="E87">
        <f t="shared" si="5"/>
        <v>2.6809069896427608E-3</v>
      </c>
    </row>
    <row r="88" spans="1:5">
      <c r="A88" t="s">
        <v>176</v>
      </c>
      <c r="B88" t="s">
        <v>676</v>
      </c>
      <c r="C88">
        <f t="shared" si="3"/>
        <v>8240000000</v>
      </c>
      <c r="D88">
        <f t="shared" si="4"/>
        <v>82400</v>
      </c>
      <c r="E88">
        <f t="shared" si="5"/>
        <v>7.5741183551588666E-4</v>
      </c>
    </row>
    <row r="89" spans="1:5">
      <c r="A89" t="s">
        <v>177</v>
      </c>
      <c r="B89" t="s">
        <v>677</v>
      </c>
      <c r="C89">
        <f t="shared" si="3"/>
        <v>20480000000</v>
      </c>
      <c r="D89">
        <f t="shared" si="4"/>
        <v>204800</v>
      </c>
      <c r="E89">
        <f t="shared" si="5"/>
        <v>1.8824993193404561E-3</v>
      </c>
    </row>
    <row r="90" spans="1:5">
      <c r="A90" t="s">
        <v>178</v>
      </c>
      <c r="B90" t="s">
        <v>678</v>
      </c>
      <c r="C90">
        <f t="shared" si="3"/>
        <v>6311000000</v>
      </c>
      <c r="D90">
        <f t="shared" si="4"/>
        <v>63110</v>
      </c>
      <c r="E90">
        <f t="shared" si="5"/>
        <v>5.8010025411902428E-4</v>
      </c>
    </row>
    <row r="91" spans="1:5">
      <c r="A91" t="s">
        <v>179</v>
      </c>
      <c r="B91" t="s">
        <v>679</v>
      </c>
      <c r="C91">
        <f t="shared" si="3"/>
        <v>12143000000</v>
      </c>
      <c r="D91">
        <f t="shared" si="4"/>
        <v>121430</v>
      </c>
      <c r="E91">
        <f t="shared" si="5"/>
        <v>1.1161713493530838E-3</v>
      </c>
    </row>
    <row r="92" spans="1:5">
      <c r="A92" t="s">
        <v>180</v>
      </c>
      <c r="B92" t="s">
        <v>680</v>
      </c>
      <c r="C92">
        <f t="shared" si="3"/>
        <v>10735000000</v>
      </c>
      <c r="D92">
        <f t="shared" si="4"/>
        <v>107350</v>
      </c>
      <c r="E92">
        <f t="shared" si="5"/>
        <v>9.8674952114842745E-4</v>
      </c>
    </row>
    <row r="93" spans="1:5">
      <c r="A93" t="s">
        <v>181</v>
      </c>
      <c r="B93" t="s">
        <v>681</v>
      </c>
      <c r="C93">
        <f t="shared" si="3"/>
        <v>14023000000</v>
      </c>
      <c r="D93">
        <f t="shared" si="4"/>
        <v>140230</v>
      </c>
      <c r="E93">
        <f t="shared" si="5"/>
        <v>1.2889789040581648E-3</v>
      </c>
    </row>
    <row r="94" spans="1:5">
      <c r="A94" t="s">
        <v>182</v>
      </c>
      <c r="B94" t="s">
        <v>682</v>
      </c>
      <c r="C94">
        <f t="shared" si="3"/>
        <v>18180000000</v>
      </c>
      <c r="D94">
        <f t="shared" si="4"/>
        <v>181800</v>
      </c>
      <c r="E94">
        <f t="shared" si="5"/>
        <v>1.6710858215629634E-3</v>
      </c>
    </row>
    <row r="95" spans="1:5">
      <c r="A95" t="s">
        <v>183</v>
      </c>
      <c r="B95" t="s">
        <v>683</v>
      </c>
      <c r="C95">
        <f t="shared" si="3"/>
        <v>188700000000</v>
      </c>
      <c r="D95">
        <f t="shared" si="4"/>
        <v>1887000</v>
      </c>
      <c r="E95">
        <f t="shared" si="5"/>
        <v>1.7345098708962111E-2</v>
      </c>
    </row>
    <row r="96" spans="1:5">
      <c r="A96" t="s">
        <v>184</v>
      </c>
      <c r="B96" t="s">
        <v>684</v>
      </c>
      <c r="C96">
        <f t="shared" si="3"/>
        <v>17114999999.999998</v>
      </c>
      <c r="D96">
        <f t="shared" si="4"/>
        <v>171149.99999999997</v>
      </c>
      <c r="E96">
        <f t="shared" si="5"/>
        <v>1.5731921802007763E-3</v>
      </c>
    </row>
    <row r="97" spans="1:5">
      <c r="A97" t="s">
        <v>185</v>
      </c>
      <c r="B97" t="s">
        <v>685</v>
      </c>
      <c r="C97">
        <f t="shared" si="3"/>
        <v>11729000000</v>
      </c>
      <c r="D97">
        <f t="shared" si="4"/>
        <v>117290</v>
      </c>
      <c r="E97">
        <f t="shared" si="5"/>
        <v>1.0781169197531353E-3</v>
      </c>
    </row>
    <row r="98" spans="1:5">
      <c r="A98" t="s">
        <v>186</v>
      </c>
      <c r="B98" t="s">
        <v>686</v>
      </c>
      <c r="C98">
        <f t="shared" si="3"/>
        <v>4301000000</v>
      </c>
      <c r="D98">
        <f t="shared" si="4"/>
        <v>43010</v>
      </c>
      <c r="E98">
        <f t="shared" si="5"/>
        <v>3.9534324084391121E-4</v>
      </c>
    </row>
    <row r="99" spans="1:5">
      <c r="A99" t="s">
        <v>187</v>
      </c>
      <c r="B99" t="s">
        <v>687</v>
      </c>
      <c r="C99">
        <f t="shared" si="3"/>
        <v>3740000000</v>
      </c>
      <c r="D99">
        <f t="shared" si="4"/>
        <v>37400</v>
      </c>
      <c r="E99">
        <f t="shared" si="5"/>
        <v>3.4377673116861845E-4</v>
      </c>
    </row>
    <row r="100" spans="1:5">
      <c r="A100" t="s">
        <v>188</v>
      </c>
      <c r="B100" t="s">
        <v>688</v>
      </c>
      <c r="C100">
        <f t="shared" si="3"/>
        <v>88944000000</v>
      </c>
      <c r="D100">
        <f t="shared" si="4"/>
        <v>889440</v>
      </c>
      <c r="E100">
        <f t="shared" si="5"/>
        <v>8.1756357157918708E-3</v>
      </c>
    </row>
    <row r="101" spans="1:5">
      <c r="A101" t="s">
        <v>189</v>
      </c>
      <c r="B101" t="s">
        <v>689</v>
      </c>
      <c r="C101">
        <f t="shared" si="3"/>
        <v>77938000000</v>
      </c>
      <c r="D101">
        <f t="shared" si="4"/>
        <v>779380</v>
      </c>
      <c r="E101">
        <f t="shared" si="5"/>
        <v>7.1639761694705303E-3</v>
      </c>
    </row>
    <row r="102" spans="1:5">
      <c r="A102" t="s">
        <v>190</v>
      </c>
      <c r="B102" t="s">
        <v>690</v>
      </c>
      <c r="C102">
        <f t="shared" si="3"/>
        <v>10915000000</v>
      </c>
      <c r="D102">
        <f t="shared" si="4"/>
        <v>109150</v>
      </c>
      <c r="E102">
        <f t="shared" si="5"/>
        <v>1.0032949253223182E-3</v>
      </c>
    </row>
    <row r="103" spans="1:5">
      <c r="A103" t="s">
        <v>191</v>
      </c>
      <c r="B103" t="s">
        <v>691</v>
      </c>
      <c r="C103">
        <f t="shared" si="3"/>
        <v>8268000000.000001</v>
      </c>
      <c r="D103">
        <f t="shared" si="4"/>
        <v>82680.000000000015</v>
      </c>
      <c r="E103">
        <f t="shared" si="5"/>
        <v>7.5998556505404752E-4</v>
      </c>
    </row>
    <row r="104" spans="1:5">
      <c r="A104" t="s">
        <v>192</v>
      </c>
      <c r="B104" t="s">
        <v>692</v>
      </c>
      <c r="C104">
        <f t="shared" si="3"/>
        <v>8802000000</v>
      </c>
      <c r="D104">
        <f t="shared" si="4"/>
        <v>88020</v>
      </c>
      <c r="E104">
        <f t="shared" si="5"/>
        <v>8.0907026410325658E-4</v>
      </c>
    </row>
    <row r="105" spans="1:5">
      <c r="A105" t="s">
        <v>193</v>
      </c>
      <c r="B105" t="s">
        <v>693</v>
      </c>
      <c r="C105">
        <f t="shared" si="3"/>
        <v>17249000000</v>
      </c>
      <c r="D105">
        <f t="shared" si="4"/>
        <v>172490</v>
      </c>
      <c r="E105">
        <f t="shared" si="5"/>
        <v>1.5855093144191176E-3</v>
      </c>
    </row>
    <row r="106" spans="1:5">
      <c r="A106" t="s">
        <v>194</v>
      </c>
      <c r="B106" t="s">
        <v>694</v>
      </c>
      <c r="C106">
        <f t="shared" si="3"/>
        <v>5016000000</v>
      </c>
      <c r="D106">
        <f t="shared" si="4"/>
        <v>50160</v>
      </c>
      <c r="E106">
        <f t="shared" si="5"/>
        <v>4.6106526297908824E-4</v>
      </c>
    </row>
    <row r="107" spans="1:5">
      <c r="A107" t="s">
        <v>195</v>
      </c>
      <c r="B107" t="s">
        <v>695</v>
      </c>
      <c r="C107">
        <f t="shared" si="3"/>
        <v>16954000000</v>
      </c>
      <c r="D107">
        <f t="shared" si="4"/>
        <v>169540</v>
      </c>
      <c r="E107">
        <f t="shared" si="5"/>
        <v>1.5583932353563522E-3</v>
      </c>
    </row>
    <row r="108" spans="1:5">
      <c r="A108" t="s">
        <v>196</v>
      </c>
      <c r="B108" t="s">
        <v>696</v>
      </c>
      <c r="C108">
        <f t="shared" si="3"/>
        <v>157900000000</v>
      </c>
      <c r="D108">
        <f t="shared" si="4"/>
        <v>1579000</v>
      </c>
      <c r="E108">
        <f t="shared" si="5"/>
        <v>1.4513996216985254E-2</v>
      </c>
    </row>
    <row r="109" spans="1:5">
      <c r="A109" t="s">
        <v>197</v>
      </c>
      <c r="B109" t="s">
        <v>697</v>
      </c>
      <c r="C109">
        <f t="shared" si="3"/>
        <v>8153000000</v>
      </c>
      <c r="D109">
        <f t="shared" si="4"/>
        <v>81530</v>
      </c>
      <c r="E109">
        <f t="shared" si="5"/>
        <v>7.4941489016517281E-4</v>
      </c>
    </row>
    <row r="110" spans="1:5">
      <c r="A110" t="s">
        <v>198</v>
      </c>
      <c r="B110" t="s">
        <v>698</v>
      </c>
      <c r="C110">
        <f t="shared" si="3"/>
        <v>20193000000</v>
      </c>
      <c r="D110">
        <f t="shared" si="4"/>
        <v>201930</v>
      </c>
      <c r="E110">
        <f t="shared" si="5"/>
        <v>1.8561185915743081E-3</v>
      </c>
    </row>
    <row r="111" spans="1:5">
      <c r="A111" t="s">
        <v>199</v>
      </c>
      <c r="B111" t="s">
        <v>699</v>
      </c>
      <c r="C111">
        <f t="shared" si="3"/>
        <v>43682000000</v>
      </c>
      <c r="D111">
        <f t="shared" si="4"/>
        <v>436820</v>
      </c>
      <c r="E111">
        <f t="shared" si="5"/>
        <v>4.015201917354971E-3</v>
      </c>
    </row>
    <row r="112" spans="1:5">
      <c r="A112" t="s">
        <v>200</v>
      </c>
      <c r="B112" t="s">
        <v>768</v>
      </c>
      <c r="C112">
        <f t="shared" si="3"/>
        <v>61553000000</v>
      </c>
      <c r="D112">
        <f t="shared" si="4"/>
        <v>615530</v>
      </c>
      <c r="E112">
        <f t="shared" si="5"/>
        <v>5.6578847950860883E-3</v>
      </c>
    </row>
    <row r="113" spans="1:5">
      <c r="A113" t="s">
        <v>201</v>
      </c>
      <c r="B113" t="s">
        <v>769</v>
      </c>
      <c r="C113">
        <f t="shared" si="3"/>
        <v>4069000000</v>
      </c>
      <c r="D113">
        <f t="shared" si="4"/>
        <v>40690</v>
      </c>
      <c r="E113">
        <f t="shared" si="5"/>
        <v>3.7401805324200759E-4</v>
      </c>
    </row>
    <row r="114" spans="1:5">
      <c r="A114" t="s">
        <v>202</v>
      </c>
      <c r="B114" t="s">
        <v>770</v>
      </c>
      <c r="C114">
        <f t="shared" si="3"/>
        <v>4250000000</v>
      </c>
      <c r="D114">
        <f t="shared" si="4"/>
        <v>42500</v>
      </c>
      <c r="E114">
        <f t="shared" si="5"/>
        <v>3.9065537632797552E-4</v>
      </c>
    </row>
    <row r="115" spans="1:5">
      <c r="A115" t="s">
        <v>203</v>
      </c>
      <c r="B115" t="s">
        <v>771</v>
      </c>
      <c r="C115">
        <f t="shared" si="3"/>
        <v>1755000000</v>
      </c>
      <c r="D115">
        <f t="shared" si="4"/>
        <v>17550</v>
      </c>
      <c r="E115">
        <f t="shared" si="5"/>
        <v>1.6131769069543459E-4</v>
      </c>
    </row>
    <row r="116" spans="1:5">
      <c r="A116" t="s">
        <v>204</v>
      </c>
      <c r="B116" t="s">
        <v>772</v>
      </c>
      <c r="C116">
        <f t="shared" si="3"/>
        <v>9965000000</v>
      </c>
      <c r="D116">
        <f t="shared" si="4"/>
        <v>99650</v>
      </c>
      <c r="E116">
        <f t="shared" si="5"/>
        <v>9.1597195884900607E-4</v>
      </c>
    </row>
    <row r="117" spans="1:5">
      <c r="A117" t="s">
        <v>205</v>
      </c>
      <c r="B117" t="s">
        <v>773</v>
      </c>
      <c r="C117">
        <f t="shared" si="3"/>
        <v>87805000000</v>
      </c>
      <c r="D117">
        <f t="shared" si="4"/>
        <v>878050</v>
      </c>
      <c r="E117">
        <f t="shared" si="5"/>
        <v>8.0709400749359745E-3</v>
      </c>
    </row>
    <row r="118" spans="1:5">
      <c r="A118" t="s">
        <v>206</v>
      </c>
      <c r="B118" t="s">
        <v>774</v>
      </c>
      <c r="C118">
        <f t="shared" si="3"/>
        <v>8179000000</v>
      </c>
      <c r="D118">
        <f t="shared" si="4"/>
        <v>81790</v>
      </c>
      <c r="E118">
        <f t="shared" si="5"/>
        <v>7.5180478187917925E-4</v>
      </c>
    </row>
    <row r="119" spans="1:5">
      <c r="A119" t="s">
        <v>207</v>
      </c>
      <c r="B119" t="s">
        <v>775</v>
      </c>
      <c r="C119">
        <f t="shared" si="3"/>
        <v>16577000000.000002</v>
      </c>
      <c r="D119">
        <f t="shared" si="4"/>
        <v>165770.00000000003</v>
      </c>
      <c r="E119">
        <f t="shared" si="5"/>
        <v>1.523739805503259E-3</v>
      </c>
    </row>
    <row r="120" spans="1:5">
      <c r="A120" t="s">
        <v>208</v>
      </c>
      <c r="B120" t="s">
        <v>776</v>
      </c>
      <c r="C120">
        <f t="shared" si="3"/>
        <v>3867000000</v>
      </c>
      <c r="D120">
        <f t="shared" si="4"/>
        <v>38670</v>
      </c>
      <c r="E120">
        <f t="shared" si="5"/>
        <v>3.5545043300241912E-4</v>
      </c>
    </row>
    <row r="121" spans="1:5">
      <c r="A121" t="s">
        <v>209</v>
      </c>
      <c r="B121" t="s">
        <v>777</v>
      </c>
      <c r="C121">
        <f t="shared" si="3"/>
        <v>7739000000</v>
      </c>
      <c r="D121">
        <f t="shared" si="4"/>
        <v>77390</v>
      </c>
      <c r="E121">
        <f t="shared" si="5"/>
        <v>7.1136046056522405E-4</v>
      </c>
    </row>
    <row r="122" spans="1:5">
      <c r="A122" t="s">
        <v>210</v>
      </c>
      <c r="B122" t="s">
        <v>778</v>
      </c>
      <c r="C122">
        <f t="shared" si="3"/>
        <v>19796000000</v>
      </c>
      <c r="D122">
        <f t="shared" si="4"/>
        <v>197960</v>
      </c>
      <c r="E122">
        <f t="shared" si="5"/>
        <v>1.8196267834796713E-3</v>
      </c>
    </row>
    <row r="123" spans="1:5">
      <c r="A123" t="s">
        <v>211</v>
      </c>
      <c r="B123" t="s">
        <v>779</v>
      </c>
      <c r="C123">
        <f t="shared" si="3"/>
        <v>37035000000</v>
      </c>
      <c r="D123">
        <f t="shared" si="4"/>
        <v>370350</v>
      </c>
      <c r="E123">
        <f t="shared" si="5"/>
        <v>3.4042169087780171E-3</v>
      </c>
    </row>
    <row r="124" spans="1:5">
      <c r="A124" t="s">
        <v>212</v>
      </c>
      <c r="B124" t="s">
        <v>780</v>
      </c>
      <c r="C124">
        <f t="shared" si="3"/>
        <v>4323000000</v>
      </c>
      <c r="D124">
        <f t="shared" si="4"/>
        <v>43230</v>
      </c>
      <c r="E124">
        <f t="shared" si="5"/>
        <v>3.9736545690960894E-4</v>
      </c>
    </row>
    <row r="125" spans="1:5">
      <c r="A125" t="s">
        <v>213</v>
      </c>
      <c r="B125" t="s">
        <v>781</v>
      </c>
      <c r="C125">
        <f t="shared" si="3"/>
        <v>22387000000</v>
      </c>
      <c r="D125">
        <f t="shared" si="4"/>
        <v>223870</v>
      </c>
      <c r="E125">
        <f t="shared" si="5"/>
        <v>2.0577886846716207E-3</v>
      </c>
    </row>
    <row r="126" spans="1:5">
      <c r="A126" t="s">
        <v>214</v>
      </c>
      <c r="B126" t="s">
        <v>782</v>
      </c>
      <c r="C126">
        <f t="shared" si="3"/>
        <v>20756000000</v>
      </c>
      <c r="D126">
        <f t="shared" si="4"/>
        <v>207560</v>
      </c>
      <c r="E126">
        <f t="shared" si="5"/>
        <v>1.9078689390737552E-3</v>
      </c>
    </row>
    <row r="127" spans="1:5">
      <c r="A127" t="s">
        <v>215</v>
      </c>
      <c r="B127" t="s">
        <v>783</v>
      </c>
      <c r="C127">
        <f t="shared" si="3"/>
        <v>16995000000.000002</v>
      </c>
      <c r="D127">
        <f t="shared" si="4"/>
        <v>169950.00000000003</v>
      </c>
      <c r="E127">
        <f t="shared" si="5"/>
        <v>1.5621619107515164E-3</v>
      </c>
    </row>
    <row r="128" spans="1:5">
      <c r="A128" t="s">
        <v>216</v>
      </c>
      <c r="B128" t="s">
        <v>784</v>
      </c>
      <c r="C128">
        <f t="shared" si="3"/>
        <v>46127000000</v>
      </c>
      <c r="D128">
        <f t="shared" si="4"/>
        <v>461270</v>
      </c>
      <c r="E128">
        <f t="shared" si="5"/>
        <v>4.2399436573836531E-3</v>
      </c>
    </row>
    <row r="129" spans="1:5">
      <c r="A129" t="s">
        <v>217</v>
      </c>
      <c r="B129" t="s">
        <v>785</v>
      </c>
      <c r="C129">
        <f t="shared" si="3"/>
        <v>2879000000</v>
      </c>
      <c r="D129">
        <f t="shared" si="4"/>
        <v>28790</v>
      </c>
      <c r="E129">
        <f t="shared" si="5"/>
        <v>2.6463454787017444E-4</v>
      </c>
    </row>
    <row r="130" spans="1:5">
      <c r="A130" t="s">
        <v>218</v>
      </c>
      <c r="B130" t="s">
        <v>786</v>
      </c>
      <c r="C130">
        <f t="shared" si="3"/>
        <v>29568000000</v>
      </c>
      <c r="D130">
        <f t="shared" si="4"/>
        <v>295680</v>
      </c>
      <c r="E130">
        <f t="shared" si="5"/>
        <v>2.7178583922977833E-3</v>
      </c>
    </row>
    <row r="131" spans="1:5">
      <c r="A131" t="s">
        <v>219</v>
      </c>
      <c r="B131" t="s">
        <v>787</v>
      </c>
      <c r="C131">
        <f t="shared" ref="C131:C194" si="6">IF(RIGHT(B131,1)="B",LEFT(B131,LEN(B131)-1)*1000000000,LEFT(B131,LEN(B131)-1)*1000000)</f>
        <v>5876000000</v>
      </c>
      <c r="D131">
        <f t="shared" ref="D131:D194" si="7">C131/$D$1</f>
        <v>58760</v>
      </c>
      <c r="E131">
        <f t="shared" ref="E131:E194" si="8">D131/$D$502</f>
        <v>5.401155273654551E-4</v>
      </c>
    </row>
    <row r="132" spans="1:5">
      <c r="A132" t="s">
        <v>220</v>
      </c>
      <c r="B132" t="s">
        <v>788</v>
      </c>
      <c r="C132">
        <f t="shared" si="6"/>
        <v>6552000000</v>
      </c>
      <c r="D132">
        <f t="shared" si="7"/>
        <v>65520</v>
      </c>
      <c r="E132">
        <f t="shared" si="8"/>
        <v>6.0225271192962252E-4</v>
      </c>
    </row>
    <row r="133" spans="1:5">
      <c r="A133" t="s">
        <v>221</v>
      </c>
      <c r="B133" t="s">
        <v>789</v>
      </c>
      <c r="C133">
        <f t="shared" si="6"/>
        <v>1734000000</v>
      </c>
      <c r="D133">
        <f t="shared" si="7"/>
        <v>17340</v>
      </c>
      <c r="E133">
        <f t="shared" si="8"/>
        <v>1.59387393541814E-4</v>
      </c>
    </row>
    <row r="134" spans="1:5">
      <c r="A134" t="s">
        <v>222</v>
      </c>
      <c r="B134" t="s">
        <v>790</v>
      </c>
      <c r="C134">
        <f t="shared" si="6"/>
        <v>28124000000</v>
      </c>
      <c r="D134">
        <f t="shared" si="7"/>
        <v>281240</v>
      </c>
      <c r="E134">
        <f t="shared" si="8"/>
        <v>2.5851274832583491E-3</v>
      </c>
    </row>
    <row r="135" spans="1:5">
      <c r="A135" t="s">
        <v>223</v>
      </c>
      <c r="B135" t="s">
        <v>791</v>
      </c>
      <c r="C135">
        <f t="shared" si="6"/>
        <v>27403000000</v>
      </c>
      <c r="D135">
        <f t="shared" si="7"/>
        <v>274030</v>
      </c>
      <c r="E135">
        <f t="shared" si="8"/>
        <v>2.5188539476507089E-3</v>
      </c>
    </row>
    <row r="136" spans="1:5">
      <c r="A136" t="s">
        <v>224</v>
      </c>
      <c r="B136" t="s">
        <v>792</v>
      </c>
      <c r="C136">
        <f t="shared" si="6"/>
        <v>4867000000</v>
      </c>
      <c r="D136">
        <f t="shared" si="7"/>
        <v>48670</v>
      </c>
      <c r="E136">
        <f t="shared" si="8"/>
        <v>4.4736934507958983E-4</v>
      </c>
    </row>
    <row r="137" spans="1:5">
      <c r="A137" t="s">
        <v>225</v>
      </c>
      <c r="B137" t="s">
        <v>793</v>
      </c>
      <c r="C137">
        <f t="shared" si="6"/>
        <v>4476000000</v>
      </c>
      <c r="D137">
        <f t="shared" si="7"/>
        <v>44760</v>
      </c>
      <c r="E137">
        <f t="shared" si="8"/>
        <v>4.1142905045741607E-4</v>
      </c>
    </row>
    <row r="138" spans="1:5">
      <c r="A138" t="s">
        <v>226</v>
      </c>
      <c r="B138" t="s">
        <v>794</v>
      </c>
      <c r="C138">
        <f t="shared" si="6"/>
        <v>23903000000</v>
      </c>
      <c r="D138">
        <f t="shared" si="7"/>
        <v>239030</v>
      </c>
      <c r="E138">
        <f t="shared" si="8"/>
        <v>2.1971377553806114E-3</v>
      </c>
    </row>
    <row r="139" spans="1:5">
      <c r="A139" t="s">
        <v>227</v>
      </c>
      <c r="B139" t="s">
        <v>795</v>
      </c>
      <c r="C139">
        <f t="shared" si="6"/>
        <v>2667000000</v>
      </c>
      <c r="D139">
        <f t="shared" si="7"/>
        <v>26670</v>
      </c>
      <c r="E139">
        <f t="shared" si="8"/>
        <v>2.4514773850981426E-4</v>
      </c>
    </row>
    <row r="140" spans="1:5">
      <c r="A140" t="s">
        <v>228</v>
      </c>
      <c r="B140" t="s">
        <v>796</v>
      </c>
      <c r="C140">
        <f t="shared" si="6"/>
        <v>7929000000</v>
      </c>
      <c r="D140">
        <f t="shared" si="7"/>
        <v>79290</v>
      </c>
      <c r="E140">
        <f t="shared" si="8"/>
        <v>7.288250538598865E-4</v>
      </c>
    </row>
    <row r="141" spans="1:5">
      <c r="A141" t="s">
        <v>229</v>
      </c>
      <c r="B141" t="s">
        <v>797</v>
      </c>
      <c r="C141">
        <f t="shared" si="6"/>
        <v>32957000000</v>
      </c>
      <c r="D141">
        <f t="shared" si="7"/>
        <v>329570</v>
      </c>
      <c r="E141">
        <f t="shared" si="8"/>
        <v>3.0293715853273151E-3</v>
      </c>
    </row>
    <row r="142" spans="1:5">
      <c r="A142" t="s">
        <v>230</v>
      </c>
      <c r="B142" t="s">
        <v>798</v>
      </c>
      <c r="C142">
        <f t="shared" si="6"/>
        <v>13336000000</v>
      </c>
      <c r="D142">
        <f t="shared" si="7"/>
        <v>133360</v>
      </c>
      <c r="E142">
        <f t="shared" si="8"/>
        <v>1.2258306114611484E-3</v>
      </c>
    </row>
    <row r="143" spans="1:5">
      <c r="A143" t="s">
        <v>231</v>
      </c>
      <c r="B143" t="s">
        <v>799</v>
      </c>
      <c r="C143">
        <f t="shared" si="6"/>
        <v>16386000000</v>
      </c>
      <c r="D143">
        <f t="shared" si="7"/>
        <v>163860</v>
      </c>
      <c r="E143">
        <f t="shared" si="8"/>
        <v>1.5061832932965191E-3</v>
      </c>
    </row>
    <row r="144" spans="1:5">
      <c r="A144" t="s">
        <v>232</v>
      </c>
      <c r="B144" t="s">
        <v>800</v>
      </c>
      <c r="C144">
        <f t="shared" si="6"/>
        <v>28865000000</v>
      </c>
      <c r="D144">
        <f t="shared" si="7"/>
        <v>288650</v>
      </c>
      <c r="E144">
        <f t="shared" si="8"/>
        <v>2.6532393971075326E-3</v>
      </c>
    </row>
    <row r="145" spans="1:5">
      <c r="A145" t="s">
        <v>233</v>
      </c>
      <c r="B145" t="s">
        <v>801</v>
      </c>
      <c r="C145">
        <f t="shared" si="6"/>
        <v>2683000000</v>
      </c>
      <c r="D145">
        <f t="shared" si="7"/>
        <v>26830</v>
      </c>
      <c r="E145">
        <f t="shared" si="8"/>
        <v>2.4661844110304899E-4</v>
      </c>
    </row>
    <row r="146" spans="1:5">
      <c r="A146" t="s">
        <v>234</v>
      </c>
      <c r="B146" t="s">
        <v>802</v>
      </c>
      <c r="C146">
        <f t="shared" si="6"/>
        <v>8829000000</v>
      </c>
      <c r="D146">
        <f t="shared" si="7"/>
        <v>88290</v>
      </c>
      <c r="E146">
        <f t="shared" si="8"/>
        <v>8.1155207472934012E-4</v>
      </c>
    </row>
    <row r="147" spans="1:5">
      <c r="A147" t="s">
        <v>235</v>
      </c>
      <c r="B147" t="s">
        <v>803</v>
      </c>
      <c r="C147">
        <f t="shared" si="6"/>
        <v>28308000000</v>
      </c>
      <c r="D147">
        <f t="shared" si="7"/>
        <v>283080</v>
      </c>
      <c r="E147">
        <f t="shared" si="8"/>
        <v>2.6020405630805482E-3</v>
      </c>
    </row>
    <row r="148" spans="1:5">
      <c r="A148" t="s">
        <v>236</v>
      </c>
      <c r="B148" t="s">
        <v>804</v>
      </c>
      <c r="C148">
        <f t="shared" si="6"/>
        <v>8007999999.999999</v>
      </c>
      <c r="D148">
        <f t="shared" si="7"/>
        <v>80079.999999999985</v>
      </c>
      <c r="E148">
        <f t="shared" si="8"/>
        <v>7.3608664791398294E-4</v>
      </c>
    </row>
    <row r="149" spans="1:5">
      <c r="A149" t="s">
        <v>237</v>
      </c>
      <c r="B149" t="s">
        <v>805</v>
      </c>
      <c r="C149">
        <f t="shared" si="6"/>
        <v>8301000000</v>
      </c>
      <c r="D149">
        <f t="shared" si="7"/>
        <v>83010</v>
      </c>
      <c r="E149">
        <f t="shared" si="8"/>
        <v>7.6301888915259407E-4</v>
      </c>
    </row>
    <row r="150" spans="1:5">
      <c r="A150" t="s">
        <v>238</v>
      </c>
      <c r="B150" t="s">
        <v>806</v>
      </c>
      <c r="C150">
        <f t="shared" si="6"/>
        <v>38428000000</v>
      </c>
      <c r="D150">
        <f t="shared" si="7"/>
        <v>384280</v>
      </c>
      <c r="E150">
        <f t="shared" si="8"/>
        <v>3.5322599533015161E-3</v>
      </c>
    </row>
    <row r="151" spans="1:5">
      <c r="A151" t="s">
        <v>239</v>
      </c>
      <c r="B151" t="s">
        <v>807</v>
      </c>
      <c r="C151">
        <f t="shared" si="6"/>
        <v>26656000000</v>
      </c>
      <c r="D151">
        <f t="shared" si="7"/>
        <v>266560</v>
      </c>
      <c r="E151">
        <f t="shared" si="8"/>
        <v>2.4501905203290625E-3</v>
      </c>
    </row>
    <row r="152" spans="1:5">
      <c r="A152" t="s">
        <v>240</v>
      </c>
      <c r="B152" t="s">
        <v>808</v>
      </c>
      <c r="C152">
        <f t="shared" si="6"/>
        <v>3081000000</v>
      </c>
      <c r="D152">
        <f t="shared" si="7"/>
        <v>30810</v>
      </c>
      <c r="E152">
        <f t="shared" si="8"/>
        <v>2.8320216810976296E-4</v>
      </c>
    </row>
    <row r="153" spans="1:5">
      <c r="A153" t="s">
        <v>241</v>
      </c>
      <c r="B153" t="s">
        <v>809</v>
      </c>
      <c r="C153">
        <f t="shared" si="6"/>
        <v>2551000000</v>
      </c>
      <c r="D153">
        <f t="shared" si="7"/>
        <v>25510</v>
      </c>
      <c r="E153">
        <f t="shared" si="8"/>
        <v>2.3448514470886248E-4</v>
      </c>
    </row>
    <row r="154" spans="1:5">
      <c r="A154" t="s">
        <v>242</v>
      </c>
      <c r="B154" t="s">
        <v>810</v>
      </c>
      <c r="C154">
        <f t="shared" si="6"/>
        <v>4872000000</v>
      </c>
      <c r="D154">
        <f t="shared" si="7"/>
        <v>48720</v>
      </c>
      <c r="E154">
        <f t="shared" si="8"/>
        <v>4.4782893963997569E-4</v>
      </c>
    </row>
    <row r="155" spans="1:5">
      <c r="A155" t="s">
        <v>243</v>
      </c>
      <c r="B155" t="s">
        <v>811</v>
      </c>
      <c r="C155">
        <f t="shared" si="6"/>
        <v>12508000000</v>
      </c>
      <c r="D155">
        <f t="shared" si="7"/>
        <v>125080</v>
      </c>
      <c r="E155">
        <f t="shared" si="8"/>
        <v>1.1497217522612512E-3</v>
      </c>
    </row>
    <row r="156" spans="1:5">
      <c r="A156" t="s">
        <v>244</v>
      </c>
      <c r="B156" t="s">
        <v>812</v>
      </c>
      <c r="C156">
        <f t="shared" si="6"/>
        <v>40828000000</v>
      </c>
      <c r="D156">
        <f t="shared" si="7"/>
        <v>408280</v>
      </c>
      <c r="E156">
        <f t="shared" si="8"/>
        <v>3.7528653422867256E-3</v>
      </c>
    </row>
    <row r="157" spans="1:5">
      <c r="A157" t="s">
        <v>245</v>
      </c>
      <c r="B157" t="s">
        <v>813</v>
      </c>
      <c r="C157">
        <f t="shared" si="6"/>
        <v>11496000000</v>
      </c>
      <c r="D157">
        <f t="shared" si="7"/>
        <v>114960</v>
      </c>
      <c r="E157">
        <f t="shared" si="8"/>
        <v>1.0566998132391545E-3</v>
      </c>
    </row>
    <row r="158" spans="1:5">
      <c r="A158" t="s">
        <v>246</v>
      </c>
      <c r="B158" t="s">
        <v>814</v>
      </c>
      <c r="C158">
        <f t="shared" si="6"/>
        <v>12283000000</v>
      </c>
      <c r="D158">
        <f t="shared" si="7"/>
        <v>122830</v>
      </c>
      <c r="E158">
        <f t="shared" si="8"/>
        <v>1.1290399970438879E-3</v>
      </c>
    </row>
    <row r="159" spans="1:5">
      <c r="A159" t="s">
        <v>247</v>
      </c>
      <c r="B159" t="s">
        <v>815</v>
      </c>
      <c r="C159">
        <f t="shared" si="6"/>
        <v>8753000000</v>
      </c>
      <c r="D159">
        <f t="shared" si="7"/>
        <v>87530</v>
      </c>
      <c r="E159">
        <f t="shared" si="8"/>
        <v>8.0456623741147518E-4</v>
      </c>
    </row>
    <row r="160" spans="1:5">
      <c r="A160" t="s">
        <v>248</v>
      </c>
      <c r="B160" t="s">
        <v>816</v>
      </c>
      <c r="C160">
        <f t="shared" si="6"/>
        <v>13618000000</v>
      </c>
      <c r="D160">
        <f t="shared" si="7"/>
        <v>136180</v>
      </c>
      <c r="E160">
        <f t="shared" si="8"/>
        <v>1.2517517446669108E-3</v>
      </c>
    </row>
    <row r="161" spans="1:5">
      <c r="A161" t="s">
        <v>249</v>
      </c>
      <c r="B161" t="s">
        <v>817</v>
      </c>
      <c r="C161">
        <f t="shared" si="6"/>
        <v>7018000000</v>
      </c>
      <c r="D161">
        <f t="shared" si="7"/>
        <v>70180</v>
      </c>
      <c r="E161">
        <f t="shared" si="8"/>
        <v>6.4508692495758406E-4</v>
      </c>
    </row>
    <row r="162" spans="1:5">
      <c r="A162" t="s">
        <v>250</v>
      </c>
      <c r="B162" t="s">
        <v>818</v>
      </c>
      <c r="C162">
        <f t="shared" si="6"/>
        <v>44458000000</v>
      </c>
      <c r="D162">
        <f t="shared" si="7"/>
        <v>444580</v>
      </c>
      <c r="E162">
        <f t="shared" si="8"/>
        <v>4.0865309931268556E-3</v>
      </c>
    </row>
    <row r="163" spans="1:5">
      <c r="A163" t="s">
        <v>251</v>
      </c>
      <c r="B163" t="s">
        <v>819</v>
      </c>
      <c r="C163">
        <f t="shared" si="6"/>
        <v>32588000000</v>
      </c>
      <c r="D163">
        <f t="shared" si="7"/>
        <v>325880</v>
      </c>
      <c r="E163">
        <f t="shared" si="8"/>
        <v>2.9954535067708392E-3</v>
      </c>
    </row>
    <row r="164" spans="1:5">
      <c r="A164" t="s">
        <v>252</v>
      </c>
      <c r="B164" t="s">
        <v>820</v>
      </c>
      <c r="C164">
        <f t="shared" si="6"/>
        <v>11738000000</v>
      </c>
      <c r="D164">
        <f t="shared" si="7"/>
        <v>117380</v>
      </c>
      <c r="E164">
        <f t="shared" si="8"/>
        <v>1.0789441899618298E-3</v>
      </c>
    </row>
    <row r="165" spans="1:5">
      <c r="A165" t="s">
        <v>253</v>
      </c>
      <c r="B165" t="s">
        <v>821</v>
      </c>
      <c r="C165">
        <f t="shared" si="6"/>
        <v>20287000000</v>
      </c>
      <c r="D165">
        <f t="shared" si="7"/>
        <v>202870</v>
      </c>
      <c r="E165">
        <f t="shared" si="8"/>
        <v>1.8647589693095621E-3</v>
      </c>
    </row>
    <row r="166" spans="1:5">
      <c r="A166" t="s">
        <v>254</v>
      </c>
      <c r="B166" t="s">
        <v>822</v>
      </c>
      <c r="C166">
        <f t="shared" si="6"/>
        <v>8539000000</v>
      </c>
      <c r="D166">
        <f t="shared" si="7"/>
        <v>85390</v>
      </c>
      <c r="E166">
        <f t="shared" si="8"/>
        <v>7.848955902269607E-4</v>
      </c>
    </row>
    <row r="167" spans="1:5">
      <c r="A167" t="s">
        <v>255</v>
      </c>
      <c r="B167" t="s">
        <v>776</v>
      </c>
      <c r="C167">
        <f t="shared" si="6"/>
        <v>3867000000</v>
      </c>
      <c r="D167">
        <f t="shared" si="7"/>
        <v>38670</v>
      </c>
      <c r="E167">
        <f t="shared" si="8"/>
        <v>3.5545043300241912E-4</v>
      </c>
    </row>
    <row r="168" spans="1:5">
      <c r="A168" t="s">
        <v>256</v>
      </c>
      <c r="B168" t="s">
        <v>823</v>
      </c>
      <c r="C168">
        <f t="shared" si="6"/>
        <v>15690000000</v>
      </c>
      <c r="D168">
        <f t="shared" si="7"/>
        <v>156900</v>
      </c>
      <c r="E168">
        <f t="shared" si="8"/>
        <v>1.4422077304908083E-3</v>
      </c>
    </row>
    <row r="169" spans="1:5">
      <c r="A169" t="s">
        <v>257</v>
      </c>
      <c r="B169" t="s">
        <v>824</v>
      </c>
      <c r="C169">
        <f t="shared" si="6"/>
        <v>18076000000</v>
      </c>
      <c r="D169">
        <f t="shared" si="7"/>
        <v>180760</v>
      </c>
      <c r="E169">
        <f t="shared" si="8"/>
        <v>1.6615262547069376E-3</v>
      </c>
    </row>
    <row r="170" spans="1:5">
      <c r="A170" t="s">
        <v>258</v>
      </c>
      <c r="B170" t="s">
        <v>825</v>
      </c>
      <c r="C170">
        <f t="shared" si="6"/>
        <v>28390000000</v>
      </c>
      <c r="D170">
        <f t="shared" si="7"/>
        <v>283900</v>
      </c>
      <c r="E170">
        <f t="shared" si="8"/>
        <v>2.6095779138708762E-3</v>
      </c>
    </row>
    <row r="171" spans="1:5">
      <c r="A171" t="s">
        <v>259</v>
      </c>
      <c r="B171" t="s">
        <v>826</v>
      </c>
      <c r="C171">
        <f t="shared" si="6"/>
        <v>7846000000</v>
      </c>
      <c r="D171">
        <f t="shared" si="7"/>
        <v>78460</v>
      </c>
      <c r="E171">
        <f t="shared" si="8"/>
        <v>7.2119578415748135E-4</v>
      </c>
    </row>
    <row r="172" spans="1:5">
      <c r="A172" t="s">
        <v>260</v>
      </c>
      <c r="B172" t="s">
        <v>827</v>
      </c>
      <c r="C172">
        <f t="shared" si="6"/>
        <v>8729000000</v>
      </c>
      <c r="D172">
        <f t="shared" si="7"/>
        <v>87290</v>
      </c>
      <c r="E172">
        <f t="shared" si="8"/>
        <v>8.0236018352162315E-4</v>
      </c>
    </row>
    <row r="173" spans="1:5">
      <c r="A173" t="s">
        <v>261</v>
      </c>
      <c r="B173" t="s">
        <v>828</v>
      </c>
      <c r="C173">
        <f t="shared" si="6"/>
        <v>18752000000</v>
      </c>
      <c r="D173">
        <f t="shared" si="7"/>
        <v>187520</v>
      </c>
      <c r="E173">
        <f t="shared" si="8"/>
        <v>1.723663439271105E-3</v>
      </c>
    </row>
    <row r="174" spans="1:5">
      <c r="A174" t="s">
        <v>262</v>
      </c>
      <c r="B174" t="s">
        <v>829</v>
      </c>
      <c r="C174">
        <f t="shared" si="6"/>
        <v>352800000000</v>
      </c>
      <c r="D174">
        <f t="shared" si="7"/>
        <v>3528000</v>
      </c>
      <c r="E174">
        <f t="shared" si="8"/>
        <v>3.2428992180825823E-2</v>
      </c>
    </row>
    <row r="175" spans="1:5">
      <c r="A175" t="s">
        <v>263</v>
      </c>
      <c r="B175" t="s">
        <v>830</v>
      </c>
      <c r="C175">
        <f t="shared" si="6"/>
        <v>6129000000</v>
      </c>
      <c r="D175">
        <f t="shared" si="7"/>
        <v>61290</v>
      </c>
      <c r="E175">
        <f t="shared" si="8"/>
        <v>5.6337101212097925E-4</v>
      </c>
    </row>
    <row r="176" spans="1:5">
      <c r="A176" t="s">
        <v>264</v>
      </c>
      <c r="B176" t="s">
        <v>831</v>
      </c>
      <c r="C176">
        <f t="shared" si="6"/>
        <v>6505000000</v>
      </c>
      <c r="D176">
        <f t="shared" si="7"/>
        <v>65050</v>
      </c>
      <c r="E176">
        <f t="shared" si="8"/>
        <v>5.9793252306199543E-4</v>
      </c>
    </row>
    <row r="177" spans="1:5">
      <c r="A177" t="s">
        <v>265</v>
      </c>
      <c r="B177" t="s">
        <v>832</v>
      </c>
      <c r="C177">
        <f t="shared" si="6"/>
        <v>10158000000</v>
      </c>
      <c r="D177">
        <f t="shared" si="7"/>
        <v>101580</v>
      </c>
      <c r="E177">
        <f t="shared" si="8"/>
        <v>9.3371230887990002E-4</v>
      </c>
    </row>
    <row r="178" spans="1:5">
      <c r="A178" t="s">
        <v>266</v>
      </c>
      <c r="B178" t="s">
        <v>833</v>
      </c>
      <c r="C178">
        <f t="shared" si="6"/>
        <v>1877000000</v>
      </c>
      <c r="D178">
        <f t="shared" si="7"/>
        <v>18770</v>
      </c>
      <c r="E178">
        <f t="shared" si="8"/>
        <v>1.7253179796884941E-4</v>
      </c>
    </row>
    <row r="179" spans="1:5">
      <c r="A179" t="s">
        <v>267</v>
      </c>
      <c r="B179" t="s">
        <v>834</v>
      </c>
      <c r="C179">
        <f t="shared" si="6"/>
        <v>22066000000</v>
      </c>
      <c r="D179">
        <f t="shared" si="7"/>
        <v>220660</v>
      </c>
      <c r="E179">
        <f t="shared" si="8"/>
        <v>2.0282827138948488E-3</v>
      </c>
    </row>
    <row r="180" spans="1:5">
      <c r="A180" t="s">
        <v>268</v>
      </c>
      <c r="B180" t="s">
        <v>835</v>
      </c>
      <c r="C180">
        <f t="shared" si="6"/>
        <v>7613000000</v>
      </c>
      <c r="D180">
        <f t="shared" si="7"/>
        <v>76130</v>
      </c>
      <c r="E180">
        <f t="shared" si="8"/>
        <v>6.9977867764350063E-4</v>
      </c>
    </row>
    <row r="181" spans="1:5">
      <c r="A181" t="s">
        <v>269</v>
      </c>
      <c r="B181" t="s">
        <v>836</v>
      </c>
      <c r="C181">
        <f t="shared" si="6"/>
        <v>9447000000</v>
      </c>
      <c r="D181">
        <f t="shared" si="7"/>
        <v>94470</v>
      </c>
      <c r="E181">
        <f t="shared" si="8"/>
        <v>8.6835796239303163E-4</v>
      </c>
    </row>
    <row r="182" spans="1:5">
      <c r="A182" t="s">
        <v>270</v>
      </c>
      <c r="B182" t="s">
        <v>837</v>
      </c>
      <c r="C182">
        <f t="shared" si="6"/>
        <v>1632000000</v>
      </c>
      <c r="D182">
        <f t="shared" si="7"/>
        <v>16320</v>
      </c>
      <c r="E182">
        <f t="shared" si="8"/>
        <v>1.5001166450994259E-4</v>
      </c>
    </row>
    <row r="183" spans="1:5">
      <c r="A183" t="s">
        <v>271</v>
      </c>
      <c r="B183" t="s">
        <v>838</v>
      </c>
      <c r="C183">
        <f t="shared" si="6"/>
        <v>5745000000</v>
      </c>
      <c r="D183">
        <f t="shared" si="7"/>
        <v>57450</v>
      </c>
      <c r="E183">
        <f t="shared" si="8"/>
        <v>5.2807414988334566E-4</v>
      </c>
    </row>
    <row r="184" spans="1:5">
      <c r="A184" t="s">
        <v>272</v>
      </c>
      <c r="B184" t="s">
        <v>839</v>
      </c>
      <c r="C184">
        <f t="shared" si="6"/>
        <v>18849000000</v>
      </c>
      <c r="D184">
        <f t="shared" si="7"/>
        <v>188490</v>
      </c>
      <c r="E184">
        <f t="shared" si="8"/>
        <v>1.7325795737425907E-3</v>
      </c>
    </row>
    <row r="185" spans="1:5">
      <c r="A185" t="s">
        <v>273</v>
      </c>
      <c r="B185" t="s">
        <v>840</v>
      </c>
      <c r="C185">
        <f t="shared" si="6"/>
        <v>7249000000</v>
      </c>
      <c r="D185">
        <f t="shared" si="7"/>
        <v>72490</v>
      </c>
      <c r="E185">
        <f t="shared" si="8"/>
        <v>6.6632019364741047E-4</v>
      </c>
    </row>
    <row r="186" spans="1:5">
      <c r="A186" t="s">
        <v>274</v>
      </c>
      <c r="B186" t="s">
        <v>841</v>
      </c>
      <c r="C186">
        <f t="shared" si="6"/>
        <v>4171999999.9999995</v>
      </c>
      <c r="D186">
        <f t="shared" si="7"/>
        <v>41719.999999999993</v>
      </c>
      <c r="E186">
        <f t="shared" si="8"/>
        <v>3.8348570118595612E-4</v>
      </c>
    </row>
    <row r="187" spans="1:5">
      <c r="A187" t="s">
        <v>275</v>
      </c>
      <c r="B187" t="s">
        <v>842</v>
      </c>
      <c r="C187">
        <f t="shared" si="6"/>
        <v>4425000000</v>
      </c>
      <c r="D187">
        <f t="shared" si="7"/>
        <v>44250</v>
      </c>
      <c r="E187">
        <f t="shared" si="8"/>
        <v>4.0674118594148038E-4</v>
      </c>
    </row>
    <row r="188" spans="1:5">
      <c r="A188" t="s">
        <v>276</v>
      </c>
      <c r="B188" t="s">
        <v>843</v>
      </c>
      <c r="C188">
        <f t="shared" si="6"/>
        <v>8609000000</v>
      </c>
      <c r="D188">
        <f t="shared" si="7"/>
        <v>86090</v>
      </c>
      <c r="E188">
        <f t="shared" si="8"/>
        <v>7.9132991407236263E-4</v>
      </c>
    </row>
    <row r="189" spans="1:5">
      <c r="A189" t="s">
        <v>277</v>
      </c>
      <c r="B189" t="s">
        <v>844</v>
      </c>
      <c r="C189">
        <f t="shared" si="6"/>
        <v>5263000000</v>
      </c>
      <c r="D189">
        <f t="shared" si="7"/>
        <v>52630</v>
      </c>
      <c r="E189">
        <f t="shared" si="8"/>
        <v>4.8376923426214944E-4</v>
      </c>
    </row>
    <row r="190" spans="1:5">
      <c r="A190" t="s">
        <v>278</v>
      </c>
      <c r="B190" t="s">
        <v>845</v>
      </c>
      <c r="C190">
        <f t="shared" si="6"/>
        <v>9508000000</v>
      </c>
      <c r="D190">
        <f t="shared" si="7"/>
        <v>95080</v>
      </c>
      <c r="E190">
        <f t="shared" si="8"/>
        <v>8.7396501602973904E-4</v>
      </c>
    </row>
    <row r="191" spans="1:5">
      <c r="A191" t="s">
        <v>279</v>
      </c>
      <c r="B191" t="s">
        <v>846</v>
      </c>
      <c r="C191">
        <f t="shared" si="6"/>
        <v>38169000000</v>
      </c>
      <c r="D191">
        <f t="shared" si="7"/>
        <v>381690</v>
      </c>
      <c r="E191">
        <f t="shared" si="8"/>
        <v>3.5084529550735285E-3</v>
      </c>
    </row>
    <row r="192" spans="1:5">
      <c r="A192" t="s">
        <v>280</v>
      </c>
      <c r="B192" t="s">
        <v>847</v>
      </c>
      <c r="C192">
        <f t="shared" si="6"/>
        <v>8513999999.999999</v>
      </c>
      <c r="D192">
        <f t="shared" si="7"/>
        <v>85139.999999999985</v>
      </c>
      <c r="E192">
        <f t="shared" si="8"/>
        <v>7.8259761742503124E-4</v>
      </c>
    </row>
    <row r="193" spans="1:5">
      <c r="A193" t="s">
        <v>281</v>
      </c>
      <c r="B193" t="s">
        <v>848</v>
      </c>
      <c r="C193">
        <f t="shared" si="6"/>
        <v>8738000000</v>
      </c>
      <c r="D193">
        <f t="shared" si="7"/>
        <v>87380</v>
      </c>
      <c r="E193">
        <f t="shared" si="8"/>
        <v>8.0318745373031766E-4</v>
      </c>
    </row>
    <row r="194" spans="1:5">
      <c r="A194" t="s">
        <v>282</v>
      </c>
      <c r="B194" t="s">
        <v>849</v>
      </c>
      <c r="C194">
        <f t="shared" si="6"/>
        <v>21710000000</v>
      </c>
      <c r="D194">
        <f t="shared" si="7"/>
        <v>217100</v>
      </c>
      <c r="E194">
        <f t="shared" si="8"/>
        <v>1.9955595811953762E-3</v>
      </c>
    </row>
    <row r="195" spans="1:5">
      <c r="A195" t="s">
        <v>283</v>
      </c>
      <c r="B195" t="s">
        <v>850</v>
      </c>
      <c r="C195">
        <f t="shared" ref="C195:C258" si="9">IF(RIGHT(B195,1)="B",LEFT(B195,LEN(B195)-1)*1000000000,LEFT(B195,LEN(B195)-1)*1000000)</f>
        <v>30635000000</v>
      </c>
      <c r="D195">
        <f t="shared" ref="D195:D258" si="10">C195/$D$1</f>
        <v>306350</v>
      </c>
      <c r="E195">
        <f t="shared" ref="E195:E258" si="11">D195/$D$502</f>
        <v>2.8159358714841248E-3</v>
      </c>
    </row>
    <row r="196" spans="1:5">
      <c r="A196" t="s">
        <v>284</v>
      </c>
      <c r="B196" t="s">
        <v>851</v>
      </c>
      <c r="C196">
        <f t="shared" si="9"/>
        <v>6189000000</v>
      </c>
      <c r="D196">
        <f t="shared" si="10"/>
        <v>61890</v>
      </c>
      <c r="E196">
        <f t="shared" si="11"/>
        <v>5.6888614684560946E-4</v>
      </c>
    </row>
    <row r="197" spans="1:5">
      <c r="A197" t="s">
        <v>285</v>
      </c>
      <c r="B197" t="s">
        <v>852</v>
      </c>
      <c r="C197">
        <f t="shared" si="9"/>
        <v>3281000000</v>
      </c>
      <c r="D197">
        <f t="shared" si="10"/>
        <v>32810</v>
      </c>
      <c r="E197">
        <f t="shared" si="11"/>
        <v>3.0158595052519707E-4</v>
      </c>
    </row>
    <row r="198" spans="1:5">
      <c r="A198" t="s">
        <v>286</v>
      </c>
      <c r="B198" t="s">
        <v>853</v>
      </c>
      <c r="C198">
        <f t="shared" si="9"/>
        <v>2271000000</v>
      </c>
      <c r="D198">
        <f t="shared" si="10"/>
        <v>22710</v>
      </c>
      <c r="E198">
        <f t="shared" si="11"/>
        <v>2.0874784932725467E-4</v>
      </c>
    </row>
    <row r="199" spans="1:5">
      <c r="A199" t="s">
        <v>287</v>
      </c>
      <c r="B199" t="s">
        <v>854</v>
      </c>
      <c r="C199">
        <f t="shared" si="9"/>
        <v>8594000000</v>
      </c>
      <c r="D199">
        <f t="shared" si="10"/>
        <v>85940</v>
      </c>
      <c r="E199">
        <f t="shared" si="11"/>
        <v>7.899511303912051E-4</v>
      </c>
    </row>
    <row r="200" spans="1:5">
      <c r="A200" t="s">
        <v>288</v>
      </c>
      <c r="B200" t="s">
        <v>855</v>
      </c>
      <c r="C200">
        <f t="shared" si="9"/>
        <v>20975000000</v>
      </c>
      <c r="D200">
        <f t="shared" si="10"/>
        <v>209750</v>
      </c>
      <c r="E200">
        <f t="shared" si="11"/>
        <v>1.9279991808186555E-3</v>
      </c>
    </row>
    <row r="201" spans="1:5">
      <c r="A201" t="s">
        <v>289</v>
      </c>
      <c r="B201" t="s">
        <v>856</v>
      </c>
      <c r="C201">
        <f t="shared" si="9"/>
        <v>165200000000</v>
      </c>
      <c r="D201">
        <f t="shared" si="10"/>
        <v>1652000</v>
      </c>
      <c r="E201">
        <f t="shared" si="11"/>
        <v>1.51850042751486E-2</v>
      </c>
    </row>
    <row r="202" spans="1:5">
      <c r="A202" t="s">
        <v>290</v>
      </c>
      <c r="B202" t="s">
        <v>857</v>
      </c>
      <c r="C202">
        <f t="shared" si="9"/>
        <v>25092000000</v>
      </c>
      <c r="D202">
        <f t="shared" si="10"/>
        <v>250920</v>
      </c>
      <c r="E202">
        <f t="shared" si="11"/>
        <v>2.3064293418403672E-3</v>
      </c>
    </row>
    <row r="203" spans="1:5">
      <c r="A203" t="s">
        <v>291</v>
      </c>
      <c r="B203" t="s">
        <v>858</v>
      </c>
      <c r="C203">
        <f t="shared" si="9"/>
        <v>8047000000.000001</v>
      </c>
      <c r="D203">
        <f t="shared" si="10"/>
        <v>80470.000000000015</v>
      </c>
      <c r="E203">
        <f t="shared" si="11"/>
        <v>7.3967148548499282E-4</v>
      </c>
    </row>
    <row r="204" spans="1:5">
      <c r="A204" t="s">
        <v>292</v>
      </c>
      <c r="B204" t="s">
        <v>859</v>
      </c>
      <c r="C204">
        <f t="shared" si="9"/>
        <v>2743000000</v>
      </c>
      <c r="D204">
        <f t="shared" si="10"/>
        <v>27430</v>
      </c>
      <c r="E204">
        <f t="shared" si="11"/>
        <v>2.5213357582767925E-4</v>
      </c>
    </row>
    <row r="205" spans="1:5">
      <c r="A205" t="s">
        <v>293</v>
      </c>
      <c r="B205" t="s">
        <v>860</v>
      </c>
      <c r="C205">
        <f t="shared" si="9"/>
        <v>30588000000</v>
      </c>
      <c r="D205">
        <f t="shared" si="10"/>
        <v>305880</v>
      </c>
      <c r="E205">
        <f t="shared" si="11"/>
        <v>2.8116156826164976E-3</v>
      </c>
    </row>
    <row r="206" spans="1:5">
      <c r="A206" t="s">
        <v>294</v>
      </c>
      <c r="B206" t="s">
        <v>861</v>
      </c>
      <c r="C206">
        <f t="shared" si="9"/>
        <v>49391000000</v>
      </c>
      <c r="D206">
        <f t="shared" si="10"/>
        <v>493910</v>
      </c>
      <c r="E206">
        <f t="shared" si="11"/>
        <v>4.5399669864035382E-3</v>
      </c>
    </row>
    <row r="207" spans="1:5">
      <c r="A207" t="s">
        <v>295</v>
      </c>
      <c r="B207" t="s">
        <v>862</v>
      </c>
      <c r="C207">
        <f t="shared" si="9"/>
        <v>15143000000</v>
      </c>
      <c r="D207">
        <f t="shared" si="10"/>
        <v>151430</v>
      </c>
      <c r="E207">
        <f t="shared" si="11"/>
        <v>1.391928085584596E-3</v>
      </c>
    </row>
    <row r="208" spans="1:5">
      <c r="A208" t="s">
        <v>296</v>
      </c>
      <c r="B208" t="s">
        <v>863</v>
      </c>
      <c r="C208">
        <f t="shared" si="9"/>
        <v>2484000000</v>
      </c>
      <c r="D208">
        <f t="shared" si="10"/>
        <v>24840</v>
      </c>
      <c r="E208">
        <f t="shared" si="11"/>
        <v>2.2832657759969203E-4</v>
      </c>
    </row>
    <row r="209" spans="1:5">
      <c r="A209" t="s">
        <v>4</v>
      </c>
      <c r="B209" t="s">
        <v>864</v>
      </c>
      <c r="C209">
        <f t="shared" si="9"/>
        <v>172000000000</v>
      </c>
      <c r="D209">
        <f t="shared" si="10"/>
        <v>1720000</v>
      </c>
      <c r="E209">
        <f t="shared" si="11"/>
        <v>1.5810052877273363E-2</v>
      </c>
    </row>
    <row r="210" spans="1:5">
      <c r="A210" t="s">
        <v>297</v>
      </c>
      <c r="B210" t="s">
        <v>865</v>
      </c>
      <c r="C210">
        <f t="shared" si="9"/>
        <v>10841000000</v>
      </c>
      <c r="D210">
        <f t="shared" si="10"/>
        <v>108410</v>
      </c>
      <c r="E210">
        <f t="shared" si="11"/>
        <v>9.9649292582860765E-4</v>
      </c>
    </row>
    <row r="211" spans="1:5">
      <c r="A211" t="s">
        <v>298</v>
      </c>
      <c r="B211" t="s">
        <v>866</v>
      </c>
      <c r="C211">
        <f t="shared" si="9"/>
        <v>30557000000</v>
      </c>
      <c r="D211">
        <f t="shared" si="10"/>
        <v>305570</v>
      </c>
      <c r="E211">
        <f t="shared" si="11"/>
        <v>2.8087661963421052E-3</v>
      </c>
    </row>
    <row r="212" spans="1:5">
      <c r="A212" t="s">
        <v>299</v>
      </c>
      <c r="B212" t="s">
        <v>867</v>
      </c>
      <c r="C212">
        <f t="shared" si="9"/>
        <v>8545999999.999999</v>
      </c>
      <c r="D212">
        <f t="shared" si="10"/>
        <v>85459.999999999985</v>
      </c>
      <c r="E212">
        <f t="shared" si="11"/>
        <v>7.855390226115007E-4</v>
      </c>
    </row>
    <row r="213" spans="1:5">
      <c r="A213" t="s">
        <v>300</v>
      </c>
      <c r="B213" t="s">
        <v>868</v>
      </c>
      <c r="C213">
        <f t="shared" si="9"/>
        <v>2175000000</v>
      </c>
      <c r="D213">
        <f t="shared" si="10"/>
        <v>21750</v>
      </c>
      <c r="E213">
        <f t="shared" si="11"/>
        <v>1.999236337678463E-4</v>
      </c>
    </row>
    <row r="214" spans="1:5">
      <c r="A214" t="s">
        <v>301</v>
      </c>
      <c r="B214" t="s">
        <v>869</v>
      </c>
      <c r="C214">
        <f t="shared" si="9"/>
        <v>4277999999.9999995</v>
      </c>
      <c r="D214">
        <f t="shared" si="10"/>
        <v>42779.999999999993</v>
      </c>
      <c r="E214">
        <f t="shared" si="11"/>
        <v>3.9322910586613621E-4</v>
      </c>
    </row>
    <row r="215" spans="1:5">
      <c r="A215" t="s">
        <v>302</v>
      </c>
      <c r="B215" t="s">
        <v>870</v>
      </c>
      <c r="C215">
        <f t="shared" si="9"/>
        <v>7154000000</v>
      </c>
      <c r="D215">
        <f t="shared" si="10"/>
        <v>71540</v>
      </c>
      <c r="E215">
        <f t="shared" si="11"/>
        <v>6.575878970000792E-4</v>
      </c>
    </row>
    <row r="216" spans="1:5">
      <c r="A216" t="s">
        <v>303</v>
      </c>
      <c r="B216" t="s">
        <v>871</v>
      </c>
      <c r="C216">
        <f t="shared" si="9"/>
        <v>4633000000</v>
      </c>
      <c r="D216">
        <f t="shared" si="10"/>
        <v>46330</v>
      </c>
      <c r="E216">
        <f t="shared" si="11"/>
        <v>4.2586031965353191E-4</v>
      </c>
    </row>
    <row r="217" spans="1:5">
      <c r="A217" t="s">
        <v>304</v>
      </c>
      <c r="B217" t="s">
        <v>872</v>
      </c>
      <c r="C217">
        <f t="shared" si="9"/>
        <v>14455000000</v>
      </c>
      <c r="D217">
        <f t="shared" si="10"/>
        <v>144550</v>
      </c>
      <c r="E217">
        <f t="shared" si="11"/>
        <v>1.3286878740755026E-3</v>
      </c>
    </row>
    <row r="218" spans="1:5">
      <c r="A218" t="s">
        <v>305</v>
      </c>
      <c r="B218" t="s">
        <v>873</v>
      </c>
      <c r="C218">
        <f t="shared" si="9"/>
        <v>8541000000</v>
      </c>
      <c r="D218">
        <f t="shared" si="10"/>
        <v>85410</v>
      </c>
      <c r="E218">
        <f t="shared" si="11"/>
        <v>7.85079428051115E-4</v>
      </c>
    </row>
    <row r="219" spans="1:5">
      <c r="A219" t="s">
        <v>306</v>
      </c>
      <c r="B219" t="s">
        <v>874</v>
      </c>
      <c r="C219">
        <f t="shared" si="9"/>
        <v>16489000000</v>
      </c>
      <c r="D219">
        <f t="shared" si="10"/>
        <v>164890</v>
      </c>
      <c r="E219">
        <f t="shared" si="11"/>
        <v>1.5156509412404678E-3</v>
      </c>
    </row>
    <row r="220" spans="1:5">
      <c r="A220" t="s">
        <v>307</v>
      </c>
      <c r="B220" t="s">
        <v>875</v>
      </c>
      <c r="C220">
        <f t="shared" si="9"/>
        <v>4701000000</v>
      </c>
      <c r="D220">
        <f t="shared" si="10"/>
        <v>47010</v>
      </c>
      <c r="E220">
        <f t="shared" si="11"/>
        <v>4.3211080567477948E-4</v>
      </c>
    </row>
    <row r="221" spans="1:5">
      <c r="A221" t="s">
        <v>308</v>
      </c>
      <c r="B221" t="s">
        <v>876</v>
      </c>
      <c r="C221">
        <f t="shared" si="9"/>
        <v>18851000000</v>
      </c>
      <c r="D221">
        <f t="shared" si="10"/>
        <v>188510</v>
      </c>
      <c r="E221">
        <f t="shared" si="11"/>
        <v>1.7327634115667449E-3</v>
      </c>
    </row>
    <row r="222" spans="1:5">
      <c r="A222" t="s">
        <v>309</v>
      </c>
      <c r="B222" t="s">
        <v>877</v>
      </c>
      <c r="C222">
        <f t="shared" si="9"/>
        <v>46386000000</v>
      </c>
      <c r="D222">
        <f t="shared" si="10"/>
        <v>463860</v>
      </c>
      <c r="E222">
        <f t="shared" si="11"/>
        <v>4.2637506556116407E-3</v>
      </c>
    </row>
    <row r="223" spans="1:5">
      <c r="A223" t="s">
        <v>310</v>
      </c>
      <c r="B223" t="s">
        <v>878</v>
      </c>
      <c r="C223">
        <f t="shared" si="9"/>
        <v>52873000000</v>
      </c>
      <c r="D223">
        <f t="shared" si="10"/>
        <v>528730</v>
      </c>
      <c r="E223">
        <f t="shared" si="11"/>
        <v>4.8600286382562471E-3</v>
      </c>
    </row>
    <row r="224" spans="1:5">
      <c r="A224" t="s">
        <v>311</v>
      </c>
      <c r="B224" t="s">
        <v>879</v>
      </c>
      <c r="C224">
        <f t="shared" si="9"/>
        <v>34896000000</v>
      </c>
      <c r="D224">
        <f t="shared" si="10"/>
        <v>348960</v>
      </c>
      <c r="E224">
        <f t="shared" si="11"/>
        <v>3.2076023558449489E-3</v>
      </c>
    </row>
    <row r="225" spans="1:5">
      <c r="A225" t="s">
        <v>312</v>
      </c>
      <c r="B225" t="s">
        <v>880</v>
      </c>
      <c r="C225">
        <f t="shared" si="9"/>
        <v>7180000000</v>
      </c>
      <c r="D225">
        <f t="shared" si="10"/>
        <v>71800</v>
      </c>
      <c r="E225">
        <f t="shared" si="11"/>
        <v>6.5997778871408565E-4</v>
      </c>
    </row>
    <row r="226" spans="1:5">
      <c r="A226" t="s">
        <v>313</v>
      </c>
      <c r="B226" t="s">
        <v>881</v>
      </c>
      <c r="C226">
        <f t="shared" si="9"/>
        <v>6219000000</v>
      </c>
      <c r="D226">
        <f t="shared" si="10"/>
        <v>62190</v>
      </c>
      <c r="E226">
        <f t="shared" si="11"/>
        <v>5.7164371420792461E-4</v>
      </c>
    </row>
    <row r="227" spans="1:5">
      <c r="A227" t="s">
        <v>314</v>
      </c>
      <c r="B227" t="s">
        <v>882</v>
      </c>
      <c r="C227">
        <f t="shared" si="9"/>
        <v>7979000000</v>
      </c>
      <c r="D227">
        <f t="shared" si="10"/>
        <v>79790</v>
      </c>
      <c r="E227">
        <f t="shared" si="11"/>
        <v>7.3342099946374509E-4</v>
      </c>
    </row>
    <row r="228" spans="1:5">
      <c r="A228" t="s">
        <v>315</v>
      </c>
      <c r="B228" t="s">
        <v>883</v>
      </c>
      <c r="C228">
        <f t="shared" si="9"/>
        <v>2772000000</v>
      </c>
      <c r="D228">
        <f t="shared" si="10"/>
        <v>27720</v>
      </c>
      <c r="E228">
        <f t="shared" si="11"/>
        <v>2.547992242779172E-4</v>
      </c>
    </row>
    <row r="229" spans="1:5">
      <c r="A229" t="s">
        <v>316</v>
      </c>
      <c r="B229" t="s">
        <v>884</v>
      </c>
      <c r="C229">
        <f t="shared" si="9"/>
        <v>12858000000</v>
      </c>
      <c r="D229">
        <f t="shared" si="10"/>
        <v>128580</v>
      </c>
      <c r="E229">
        <f t="shared" si="11"/>
        <v>1.181893371488261E-3</v>
      </c>
    </row>
    <row r="230" spans="1:5">
      <c r="A230" t="s">
        <v>317</v>
      </c>
      <c r="B230" t="s">
        <v>885</v>
      </c>
      <c r="C230">
        <f t="shared" si="9"/>
        <v>4248000000</v>
      </c>
      <c r="D230">
        <f t="shared" si="10"/>
        <v>42480</v>
      </c>
      <c r="E230">
        <f t="shared" si="11"/>
        <v>3.9047153850382116E-4</v>
      </c>
    </row>
    <row r="231" spans="1:5">
      <c r="A231" t="s">
        <v>318</v>
      </c>
      <c r="B231" t="s">
        <v>886</v>
      </c>
      <c r="C231">
        <f t="shared" si="9"/>
        <v>21322000000</v>
      </c>
      <c r="D231">
        <f t="shared" si="10"/>
        <v>213220</v>
      </c>
      <c r="E231">
        <f t="shared" si="11"/>
        <v>1.9598950433094339E-3</v>
      </c>
    </row>
    <row r="232" spans="1:5">
      <c r="A232" t="s">
        <v>319</v>
      </c>
      <c r="B232" t="s">
        <v>887</v>
      </c>
      <c r="C232">
        <f t="shared" si="9"/>
        <v>3807000000</v>
      </c>
      <c r="D232">
        <f t="shared" si="10"/>
        <v>38070</v>
      </c>
      <c r="E232">
        <f t="shared" si="11"/>
        <v>3.4993529827778886E-4</v>
      </c>
    </row>
    <row r="233" spans="1:5">
      <c r="A233" t="s">
        <v>320</v>
      </c>
      <c r="B233" t="s">
        <v>888</v>
      </c>
      <c r="C233">
        <f t="shared" si="9"/>
        <v>117900000000</v>
      </c>
      <c r="D233">
        <f t="shared" si="10"/>
        <v>1179000</v>
      </c>
      <c r="E233">
        <f t="shared" si="11"/>
        <v>1.0837239733898427E-2</v>
      </c>
    </row>
    <row r="234" spans="1:5">
      <c r="A234" t="s">
        <v>321</v>
      </c>
      <c r="B234" t="s">
        <v>889</v>
      </c>
      <c r="C234">
        <f t="shared" si="9"/>
        <v>8960000000</v>
      </c>
      <c r="D234">
        <f t="shared" si="10"/>
        <v>89600</v>
      </c>
      <c r="E234">
        <f t="shared" si="11"/>
        <v>8.2359345221144956E-4</v>
      </c>
    </row>
    <row r="235" spans="1:5">
      <c r="A235" t="s">
        <v>322</v>
      </c>
      <c r="B235" t="s">
        <v>890</v>
      </c>
      <c r="C235">
        <f t="shared" si="9"/>
        <v>213400000000</v>
      </c>
      <c r="D235">
        <f t="shared" si="10"/>
        <v>2134000</v>
      </c>
      <c r="E235">
        <f t="shared" si="11"/>
        <v>1.9615495837268227E-2</v>
      </c>
    </row>
    <row r="236" spans="1:5">
      <c r="A236" t="s">
        <v>323</v>
      </c>
      <c r="B236" t="s">
        <v>891</v>
      </c>
      <c r="C236">
        <f t="shared" si="9"/>
        <v>4616000000</v>
      </c>
      <c r="D236">
        <f t="shared" si="10"/>
        <v>46160</v>
      </c>
      <c r="E236">
        <f t="shared" si="11"/>
        <v>4.2429769814821997E-4</v>
      </c>
    </row>
    <row r="237" spans="1:5">
      <c r="A237" t="s">
        <v>324</v>
      </c>
      <c r="B237" t="s">
        <v>892</v>
      </c>
      <c r="C237">
        <f t="shared" si="9"/>
        <v>4397000000</v>
      </c>
      <c r="D237">
        <f t="shared" si="10"/>
        <v>43970</v>
      </c>
      <c r="E237">
        <f t="shared" si="11"/>
        <v>4.0416745640331958E-4</v>
      </c>
    </row>
    <row r="238" spans="1:5">
      <c r="A238" t="s">
        <v>325</v>
      </c>
      <c r="B238" t="s">
        <v>893</v>
      </c>
      <c r="C238">
        <f t="shared" si="9"/>
        <v>10691000000</v>
      </c>
      <c r="D238">
        <f t="shared" si="10"/>
        <v>106910</v>
      </c>
      <c r="E238">
        <f t="shared" si="11"/>
        <v>9.8270508901703198E-4</v>
      </c>
    </row>
    <row r="239" spans="1:5">
      <c r="A239" t="s">
        <v>326</v>
      </c>
      <c r="B239" t="s">
        <v>894</v>
      </c>
      <c r="C239">
        <f t="shared" si="9"/>
        <v>3517000000</v>
      </c>
      <c r="D239">
        <f t="shared" si="10"/>
        <v>35170</v>
      </c>
      <c r="E239">
        <f t="shared" si="11"/>
        <v>3.2327881377540939E-4</v>
      </c>
    </row>
    <row r="240" spans="1:5">
      <c r="A240" t="s">
        <v>327</v>
      </c>
      <c r="B240" t="s">
        <v>895</v>
      </c>
      <c r="C240">
        <f t="shared" si="9"/>
        <v>14475000000</v>
      </c>
      <c r="D240">
        <f t="shared" si="10"/>
        <v>144750</v>
      </c>
      <c r="E240">
        <f t="shared" si="11"/>
        <v>1.330526252317046E-3</v>
      </c>
    </row>
    <row r="241" spans="1:5">
      <c r="A241" t="s">
        <v>328</v>
      </c>
      <c r="B241" t="s">
        <v>896</v>
      </c>
      <c r="C241">
        <f t="shared" si="9"/>
        <v>14898000000</v>
      </c>
      <c r="D241">
        <f t="shared" si="10"/>
        <v>148980</v>
      </c>
      <c r="E241">
        <f t="shared" si="11"/>
        <v>1.3694079521256893E-3</v>
      </c>
    </row>
    <row r="242" spans="1:5">
      <c r="A242" t="s">
        <v>329</v>
      </c>
      <c r="B242" t="s">
        <v>897</v>
      </c>
      <c r="C242">
        <f t="shared" si="9"/>
        <v>7228000000</v>
      </c>
      <c r="D242">
        <f t="shared" si="10"/>
        <v>72280</v>
      </c>
      <c r="E242">
        <f t="shared" si="11"/>
        <v>6.6438989649378983E-4</v>
      </c>
    </row>
    <row r="243" spans="1:5">
      <c r="A243" t="s">
        <v>330</v>
      </c>
      <c r="B243" t="s">
        <v>898</v>
      </c>
      <c r="C243">
        <f t="shared" si="9"/>
        <v>6594000000</v>
      </c>
      <c r="D243">
        <f t="shared" si="10"/>
        <v>65940</v>
      </c>
      <c r="E243">
        <f t="shared" si="11"/>
        <v>6.0611330623686359E-4</v>
      </c>
    </row>
    <row r="244" spans="1:5">
      <c r="A244" t="s">
        <v>331</v>
      </c>
      <c r="B244" t="s">
        <v>899</v>
      </c>
      <c r="C244">
        <f t="shared" si="9"/>
        <v>8026999999.999999</v>
      </c>
      <c r="D244">
        <f t="shared" si="10"/>
        <v>80269.999999999985</v>
      </c>
      <c r="E244">
        <f t="shared" si="11"/>
        <v>7.3783310724344917E-4</v>
      </c>
    </row>
    <row r="245" spans="1:5">
      <c r="A245" t="s">
        <v>332</v>
      </c>
      <c r="B245" t="s">
        <v>900</v>
      </c>
      <c r="C245">
        <f t="shared" si="9"/>
        <v>4081000000.0000005</v>
      </c>
      <c r="D245">
        <f t="shared" si="10"/>
        <v>40810.000000000007</v>
      </c>
      <c r="E245">
        <f t="shared" si="11"/>
        <v>3.7512108018693371E-4</v>
      </c>
    </row>
    <row r="246" spans="1:5">
      <c r="A246" t="s">
        <v>333</v>
      </c>
      <c r="B246" t="s">
        <v>901</v>
      </c>
      <c r="C246">
        <f t="shared" si="9"/>
        <v>4332000000</v>
      </c>
      <c r="D246">
        <f t="shared" si="10"/>
        <v>43320</v>
      </c>
      <c r="E246">
        <f t="shared" si="11"/>
        <v>3.9819272711830351E-4</v>
      </c>
    </row>
    <row r="247" spans="1:5">
      <c r="A247" t="s">
        <v>334</v>
      </c>
      <c r="B247" t="s">
        <v>902</v>
      </c>
      <c r="C247">
        <f t="shared" si="9"/>
        <v>1171000000</v>
      </c>
      <c r="D247">
        <f t="shared" si="10"/>
        <v>11710</v>
      </c>
      <c r="E247">
        <f t="shared" si="11"/>
        <v>1.076370460423669E-4</v>
      </c>
    </row>
    <row r="248" spans="1:5">
      <c r="A248" t="s">
        <v>335</v>
      </c>
      <c r="B248" t="s">
        <v>903</v>
      </c>
      <c r="C248">
        <f t="shared" si="9"/>
        <v>2465000000</v>
      </c>
      <c r="D248">
        <f t="shared" si="10"/>
        <v>24650</v>
      </c>
      <c r="E248">
        <f t="shared" si="11"/>
        <v>2.265801182702258E-4</v>
      </c>
    </row>
    <row r="249" spans="1:5">
      <c r="A249" t="s">
        <v>336</v>
      </c>
      <c r="B249" t="s">
        <v>904</v>
      </c>
      <c r="C249">
        <f t="shared" si="9"/>
        <v>174100000000</v>
      </c>
      <c r="D249">
        <f t="shared" si="10"/>
        <v>1741000</v>
      </c>
      <c r="E249">
        <f t="shared" si="11"/>
        <v>1.6003082592635422E-2</v>
      </c>
    </row>
    <row r="250" spans="1:5">
      <c r="A250" t="s">
        <v>337</v>
      </c>
      <c r="B250" t="s">
        <v>700</v>
      </c>
      <c r="C250">
        <f t="shared" si="9"/>
        <v>18404000000</v>
      </c>
      <c r="D250">
        <f t="shared" si="10"/>
        <v>184040</v>
      </c>
      <c r="E250">
        <f t="shared" si="11"/>
        <v>1.6916756578682496E-3</v>
      </c>
    </row>
    <row r="251" spans="1:5">
      <c r="A251" t="s">
        <v>338</v>
      </c>
      <c r="B251" t="s">
        <v>701</v>
      </c>
      <c r="C251">
        <f t="shared" si="9"/>
        <v>7010000000</v>
      </c>
      <c r="D251">
        <f t="shared" si="10"/>
        <v>70100</v>
      </c>
      <c r="E251">
        <f t="shared" si="11"/>
        <v>6.4435157366096664E-4</v>
      </c>
    </row>
    <row r="252" spans="1:5">
      <c r="A252" t="s">
        <v>339</v>
      </c>
      <c r="B252" t="s">
        <v>702</v>
      </c>
      <c r="C252">
        <f t="shared" si="9"/>
        <v>121600000000</v>
      </c>
      <c r="D252">
        <f t="shared" si="10"/>
        <v>1216000</v>
      </c>
      <c r="E252">
        <f t="shared" si="11"/>
        <v>1.1177339708583959E-2</v>
      </c>
    </row>
    <row r="253" spans="1:5">
      <c r="A253" t="s">
        <v>340</v>
      </c>
      <c r="B253" t="s">
        <v>703</v>
      </c>
      <c r="C253">
        <f t="shared" si="9"/>
        <v>10103000000</v>
      </c>
      <c r="D253">
        <f t="shared" si="10"/>
        <v>101030</v>
      </c>
      <c r="E253">
        <f t="shared" si="11"/>
        <v>9.2865676871565562E-4</v>
      </c>
    </row>
    <row r="254" spans="1:5">
      <c r="A254" t="s">
        <v>341</v>
      </c>
      <c r="B254" t="s">
        <v>704</v>
      </c>
      <c r="C254">
        <f t="shared" si="9"/>
        <v>19606000000</v>
      </c>
      <c r="D254">
        <f t="shared" si="10"/>
        <v>196060</v>
      </c>
      <c r="E254">
        <f t="shared" si="11"/>
        <v>1.802162190185009E-3</v>
      </c>
    </row>
    <row r="255" spans="1:5">
      <c r="A255" t="s">
        <v>342</v>
      </c>
      <c r="B255" t="s">
        <v>705</v>
      </c>
      <c r="C255">
        <f t="shared" si="9"/>
        <v>5629000000</v>
      </c>
      <c r="D255">
        <f t="shared" si="10"/>
        <v>56290</v>
      </c>
      <c r="E255">
        <f t="shared" si="11"/>
        <v>5.1741155608239396E-4</v>
      </c>
    </row>
    <row r="256" spans="1:5">
      <c r="A256" t="s">
        <v>343</v>
      </c>
      <c r="B256" t="s">
        <v>706</v>
      </c>
      <c r="C256">
        <f t="shared" si="9"/>
        <v>27536000000</v>
      </c>
      <c r="D256">
        <f t="shared" si="10"/>
        <v>275360</v>
      </c>
      <c r="E256">
        <f t="shared" si="11"/>
        <v>2.5310791629569724E-3</v>
      </c>
    </row>
    <row r="257" spans="1:5">
      <c r="A257" t="s">
        <v>344</v>
      </c>
      <c r="B257" t="s">
        <v>707</v>
      </c>
      <c r="C257">
        <f t="shared" si="9"/>
        <v>6369000000</v>
      </c>
      <c r="D257">
        <f t="shared" si="10"/>
        <v>63690</v>
      </c>
      <c r="E257">
        <f t="shared" si="11"/>
        <v>5.8543155101950018E-4</v>
      </c>
    </row>
    <row r="258" spans="1:5">
      <c r="A258" t="s">
        <v>345</v>
      </c>
      <c r="B258" t="s">
        <v>708</v>
      </c>
      <c r="C258">
        <f t="shared" si="9"/>
        <v>6515000000</v>
      </c>
      <c r="D258">
        <f t="shared" si="10"/>
        <v>65150</v>
      </c>
      <c r="E258">
        <f t="shared" si="11"/>
        <v>5.9885171218276715E-4</v>
      </c>
    </row>
    <row r="259" spans="1:5">
      <c r="A259" t="s">
        <v>346</v>
      </c>
      <c r="B259" t="s">
        <v>709</v>
      </c>
      <c r="C259">
        <f t="shared" ref="C259:C322" si="12">IF(RIGHT(B259,1)="B",LEFT(B259,LEN(B259)-1)*1000000000,LEFT(B259,LEN(B259)-1)*1000000)</f>
        <v>12990000000</v>
      </c>
      <c r="D259">
        <f t="shared" ref="D259:D322" si="13">C259/$D$1</f>
        <v>129900</v>
      </c>
      <c r="E259">
        <f t="shared" ref="E259:E322" si="14">D259/$D$502</f>
        <v>1.1940266678824474E-3</v>
      </c>
    </row>
    <row r="260" spans="1:5">
      <c r="A260" t="s">
        <v>347</v>
      </c>
      <c r="B260" t="s">
        <v>710</v>
      </c>
      <c r="C260">
        <f t="shared" si="12"/>
        <v>60842000000</v>
      </c>
      <c r="D260">
        <f t="shared" si="13"/>
        <v>608420</v>
      </c>
      <c r="E260">
        <f t="shared" si="14"/>
        <v>5.5925304485992203E-3</v>
      </c>
    </row>
    <row r="261" spans="1:5">
      <c r="A261" t="s">
        <v>348</v>
      </c>
      <c r="B261" t="s">
        <v>711</v>
      </c>
      <c r="C261">
        <f t="shared" si="12"/>
        <v>13143000000</v>
      </c>
      <c r="D261">
        <f t="shared" si="13"/>
        <v>131430</v>
      </c>
      <c r="E261">
        <f t="shared" si="14"/>
        <v>1.2080902614302546E-3</v>
      </c>
    </row>
    <row r="262" spans="1:5">
      <c r="A262" t="s">
        <v>349</v>
      </c>
      <c r="B262" t="s">
        <v>712</v>
      </c>
      <c r="C262">
        <f t="shared" si="12"/>
        <v>6553000000</v>
      </c>
      <c r="D262">
        <f t="shared" si="13"/>
        <v>65530</v>
      </c>
      <c r="E262">
        <f t="shared" si="14"/>
        <v>6.0234463084169962E-4</v>
      </c>
    </row>
    <row r="263" spans="1:5">
      <c r="A263" t="s">
        <v>350</v>
      </c>
      <c r="B263" t="s">
        <v>713</v>
      </c>
      <c r="C263">
        <f t="shared" si="12"/>
        <v>8273000000</v>
      </c>
      <c r="D263">
        <f t="shared" si="13"/>
        <v>82730</v>
      </c>
      <c r="E263">
        <f t="shared" si="14"/>
        <v>7.6044515961443322E-4</v>
      </c>
    </row>
    <row r="264" spans="1:5">
      <c r="A264" t="s">
        <v>351</v>
      </c>
      <c r="B264" t="s">
        <v>714</v>
      </c>
      <c r="C264">
        <f t="shared" si="12"/>
        <v>3893000000</v>
      </c>
      <c r="D264">
        <f t="shared" si="13"/>
        <v>38930</v>
      </c>
      <c r="E264">
        <f t="shared" si="14"/>
        <v>3.5784032471642557E-4</v>
      </c>
    </row>
    <row r="265" spans="1:5">
      <c r="A265" t="s">
        <v>352</v>
      </c>
      <c r="B265" t="s">
        <v>715</v>
      </c>
      <c r="C265">
        <f t="shared" si="12"/>
        <v>2897000000</v>
      </c>
      <c r="D265">
        <f t="shared" si="13"/>
        <v>28970</v>
      </c>
      <c r="E265">
        <f t="shared" si="14"/>
        <v>2.6628908828756352E-4</v>
      </c>
    </row>
    <row r="266" spans="1:5">
      <c r="A266" t="s">
        <v>353</v>
      </c>
      <c r="B266" t="s">
        <v>716</v>
      </c>
      <c r="C266">
        <f t="shared" si="12"/>
        <v>2517000000</v>
      </c>
      <c r="D266">
        <f t="shared" si="13"/>
        <v>25170</v>
      </c>
      <c r="E266">
        <f t="shared" si="14"/>
        <v>2.3135990169823866E-4</v>
      </c>
    </row>
    <row r="267" spans="1:5">
      <c r="A267" t="s">
        <v>354</v>
      </c>
      <c r="B267" t="s">
        <v>717</v>
      </c>
      <c r="C267">
        <f t="shared" si="12"/>
        <v>5696000000</v>
      </c>
      <c r="D267">
        <f t="shared" si="13"/>
        <v>56960</v>
      </c>
      <c r="E267">
        <f t="shared" si="14"/>
        <v>5.2357012319156437E-4</v>
      </c>
    </row>
    <row r="268" spans="1:5">
      <c r="A268" t="s">
        <v>355</v>
      </c>
      <c r="B268" t="s">
        <v>718</v>
      </c>
      <c r="C268">
        <f t="shared" si="12"/>
        <v>2222000000</v>
      </c>
      <c r="D268">
        <f t="shared" si="13"/>
        <v>22220</v>
      </c>
      <c r="E268">
        <f t="shared" si="14"/>
        <v>2.0424382263547331E-4</v>
      </c>
    </row>
    <row r="269" spans="1:5">
      <c r="A269" t="s">
        <v>356</v>
      </c>
      <c r="B269" t="s">
        <v>719</v>
      </c>
      <c r="C269">
        <f t="shared" si="12"/>
        <v>6838000000</v>
      </c>
      <c r="D269">
        <f t="shared" si="13"/>
        <v>68380</v>
      </c>
      <c r="E269">
        <f t="shared" si="14"/>
        <v>6.2854152078369334E-4</v>
      </c>
    </row>
    <row r="270" spans="1:5">
      <c r="A270" t="s">
        <v>357</v>
      </c>
      <c r="B270" t="s">
        <v>720</v>
      </c>
      <c r="C270">
        <f t="shared" si="12"/>
        <v>41750000000</v>
      </c>
      <c r="D270">
        <f t="shared" si="13"/>
        <v>417500</v>
      </c>
      <c r="E270">
        <f t="shared" si="14"/>
        <v>3.8376145792218771E-3</v>
      </c>
    </row>
    <row r="271" spans="1:5">
      <c r="A271" t="s">
        <v>358</v>
      </c>
      <c r="B271" t="s">
        <v>721</v>
      </c>
      <c r="C271">
        <f t="shared" si="12"/>
        <v>12261000000</v>
      </c>
      <c r="D271">
        <f t="shared" si="13"/>
        <v>122610</v>
      </c>
      <c r="E271">
        <f t="shared" si="14"/>
        <v>1.12701778097819E-3</v>
      </c>
    </row>
    <row r="272" spans="1:5">
      <c r="A272" t="s">
        <v>359</v>
      </c>
      <c r="B272" t="s">
        <v>722</v>
      </c>
      <c r="C272">
        <f t="shared" si="12"/>
        <v>4838000000</v>
      </c>
      <c r="D272">
        <f t="shared" si="13"/>
        <v>48380</v>
      </c>
      <c r="E272">
        <f t="shared" si="14"/>
        <v>4.4470369662935187E-4</v>
      </c>
    </row>
    <row r="273" spans="1:5">
      <c r="A273" t="s">
        <v>360</v>
      </c>
      <c r="B273" t="s">
        <v>723</v>
      </c>
      <c r="C273">
        <f t="shared" si="12"/>
        <v>6657000000</v>
      </c>
      <c r="D273">
        <f t="shared" si="13"/>
        <v>66570</v>
      </c>
      <c r="E273">
        <f t="shared" si="14"/>
        <v>6.1190419769772541E-4</v>
      </c>
    </row>
    <row r="274" spans="1:5">
      <c r="A274" t="s">
        <v>361</v>
      </c>
      <c r="B274" t="s">
        <v>724</v>
      </c>
      <c r="C274">
        <f t="shared" si="12"/>
        <v>24683000000</v>
      </c>
      <c r="D274">
        <f t="shared" si="13"/>
        <v>246830</v>
      </c>
      <c r="E274">
        <f t="shared" si="14"/>
        <v>2.2688345068008044E-3</v>
      </c>
    </row>
    <row r="275" spans="1:5">
      <c r="A275" t="s">
        <v>362</v>
      </c>
      <c r="B275" t="s">
        <v>725</v>
      </c>
      <c r="C275">
        <f t="shared" si="12"/>
        <v>14087000000</v>
      </c>
      <c r="D275">
        <f t="shared" si="13"/>
        <v>140870</v>
      </c>
      <c r="E275">
        <f t="shared" si="14"/>
        <v>1.2948617144311037E-3</v>
      </c>
    </row>
    <row r="276" spans="1:5">
      <c r="A276" t="s">
        <v>363</v>
      </c>
      <c r="B276" t="s">
        <v>726</v>
      </c>
      <c r="C276">
        <f t="shared" si="12"/>
        <v>15034000000</v>
      </c>
      <c r="D276">
        <f t="shared" si="13"/>
        <v>150340</v>
      </c>
      <c r="E276">
        <f t="shared" si="14"/>
        <v>1.3819089241681843E-3</v>
      </c>
    </row>
    <row r="277" spans="1:5">
      <c r="A277" t="s">
        <v>364</v>
      </c>
      <c r="B277" t="s">
        <v>727</v>
      </c>
      <c r="C277">
        <f t="shared" si="12"/>
        <v>25267000000</v>
      </c>
      <c r="D277">
        <f t="shared" si="13"/>
        <v>252670</v>
      </c>
      <c r="E277">
        <f t="shared" si="14"/>
        <v>2.3225151514538723E-3</v>
      </c>
    </row>
    <row r="278" spans="1:5">
      <c r="A278" t="s">
        <v>365</v>
      </c>
      <c r="B278" t="s">
        <v>728</v>
      </c>
      <c r="C278">
        <f t="shared" si="12"/>
        <v>3116000000</v>
      </c>
      <c r="D278">
        <f t="shared" si="13"/>
        <v>31160</v>
      </c>
      <c r="E278">
        <f t="shared" si="14"/>
        <v>2.8641933003246392E-4</v>
      </c>
    </row>
    <row r="279" spans="1:5">
      <c r="A279" t="s">
        <v>366</v>
      </c>
      <c r="B279" t="s">
        <v>729</v>
      </c>
      <c r="C279">
        <f t="shared" si="12"/>
        <v>9019000000</v>
      </c>
      <c r="D279">
        <f t="shared" si="13"/>
        <v>90190</v>
      </c>
      <c r="E279">
        <f t="shared" si="14"/>
        <v>8.2901666802400256E-4</v>
      </c>
    </row>
    <row r="280" spans="1:5">
      <c r="A280" t="s">
        <v>367</v>
      </c>
      <c r="B280" t="s">
        <v>730</v>
      </c>
      <c r="C280">
        <f t="shared" si="12"/>
        <v>11617000000</v>
      </c>
      <c r="D280">
        <f t="shared" si="13"/>
        <v>116170</v>
      </c>
      <c r="E280">
        <f t="shared" si="14"/>
        <v>1.067822001600492E-3</v>
      </c>
    </row>
    <row r="281" spans="1:5">
      <c r="A281" t="s">
        <v>368</v>
      </c>
      <c r="B281" t="s">
        <v>731</v>
      </c>
      <c r="C281">
        <f t="shared" si="12"/>
        <v>16079000000</v>
      </c>
      <c r="D281">
        <f t="shared" si="13"/>
        <v>160790</v>
      </c>
      <c r="E281">
        <f t="shared" si="14"/>
        <v>1.4779641872888277E-3</v>
      </c>
    </row>
    <row r="282" spans="1:5">
      <c r="A282" t="s">
        <v>369</v>
      </c>
      <c r="B282" t="s">
        <v>732</v>
      </c>
      <c r="C282">
        <f t="shared" si="12"/>
        <v>9841000000</v>
      </c>
      <c r="D282">
        <f t="shared" si="13"/>
        <v>98410</v>
      </c>
      <c r="E282">
        <f t="shared" si="14"/>
        <v>9.0457401375143695E-4</v>
      </c>
    </row>
    <row r="283" spans="1:5">
      <c r="A283" t="s">
        <v>370</v>
      </c>
      <c r="B283" t="s">
        <v>733</v>
      </c>
      <c r="C283">
        <f t="shared" si="12"/>
        <v>14560000000</v>
      </c>
      <c r="D283">
        <f t="shared" si="13"/>
        <v>145600</v>
      </c>
      <c r="E283">
        <f t="shared" si="14"/>
        <v>1.3383393598436055E-3</v>
      </c>
    </row>
    <row r="284" spans="1:5">
      <c r="A284" s="6" t="s">
        <v>371</v>
      </c>
      <c r="B284" s="6" t="s">
        <v>734</v>
      </c>
      <c r="C284" s="6"/>
      <c r="D284" s="6">
        <f t="shared" si="13"/>
        <v>0</v>
      </c>
      <c r="E284">
        <f t="shared" si="14"/>
        <v>0</v>
      </c>
    </row>
    <row r="285" spans="1:5">
      <c r="A285" t="s">
        <v>372</v>
      </c>
      <c r="B285" t="s">
        <v>735</v>
      </c>
      <c r="C285">
        <f t="shared" si="12"/>
        <v>2606000000</v>
      </c>
      <c r="D285">
        <f t="shared" si="13"/>
        <v>26060</v>
      </c>
      <c r="E285">
        <f t="shared" si="14"/>
        <v>2.3954068487310685E-4</v>
      </c>
    </row>
    <row r="286" spans="1:5">
      <c r="A286" t="s">
        <v>373</v>
      </c>
      <c r="B286" t="s">
        <v>736</v>
      </c>
      <c r="C286">
        <f t="shared" si="12"/>
        <v>4352000000</v>
      </c>
      <c r="D286">
        <f t="shared" si="13"/>
        <v>43520</v>
      </c>
      <c r="E286">
        <f t="shared" si="14"/>
        <v>4.000311053598469E-4</v>
      </c>
    </row>
    <row r="287" spans="1:5">
      <c r="A287" t="s">
        <v>374</v>
      </c>
      <c r="B287" t="s">
        <v>737</v>
      </c>
      <c r="C287">
        <f t="shared" si="12"/>
        <v>41959000000</v>
      </c>
      <c r="D287">
        <f t="shared" si="13"/>
        <v>419590</v>
      </c>
      <c r="E287">
        <f t="shared" si="14"/>
        <v>3.8568256318460056E-3</v>
      </c>
    </row>
    <row r="288" spans="1:5">
      <c r="A288" t="s">
        <v>375</v>
      </c>
      <c r="B288" t="s">
        <v>738</v>
      </c>
      <c r="C288">
        <f t="shared" si="12"/>
        <v>9148000000</v>
      </c>
      <c r="D288">
        <f t="shared" si="13"/>
        <v>91480</v>
      </c>
      <c r="E288">
        <f t="shared" si="14"/>
        <v>8.408742076819576E-4</v>
      </c>
    </row>
    <row r="289" spans="1:5">
      <c r="A289" t="s">
        <v>376</v>
      </c>
      <c r="B289" t="s">
        <v>739</v>
      </c>
      <c r="C289">
        <f t="shared" si="12"/>
        <v>6155000000</v>
      </c>
      <c r="D289">
        <f t="shared" si="13"/>
        <v>61550</v>
      </c>
      <c r="E289">
        <f t="shared" si="14"/>
        <v>5.657609038349857E-4</v>
      </c>
    </row>
    <row r="290" spans="1:5">
      <c r="A290" t="s">
        <v>377</v>
      </c>
      <c r="B290" t="s">
        <v>740</v>
      </c>
      <c r="C290">
        <f t="shared" si="12"/>
        <v>91599000000</v>
      </c>
      <c r="D290">
        <f t="shared" si="13"/>
        <v>915990</v>
      </c>
      <c r="E290">
        <f t="shared" si="14"/>
        <v>8.4196804273567599E-3</v>
      </c>
    </row>
    <row r="291" spans="1:5">
      <c r="A291" t="s">
        <v>378</v>
      </c>
      <c r="B291" t="s">
        <v>741</v>
      </c>
      <c r="C291">
        <f t="shared" si="12"/>
        <v>13122000000</v>
      </c>
      <c r="D291">
        <f t="shared" si="13"/>
        <v>131220</v>
      </c>
      <c r="E291">
        <f t="shared" si="14"/>
        <v>1.2061599642766341E-3</v>
      </c>
    </row>
    <row r="292" spans="1:5">
      <c r="A292" t="s">
        <v>379</v>
      </c>
      <c r="B292" t="s">
        <v>742</v>
      </c>
      <c r="C292">
        <f t="shared" si="12"/>
        <v>18495000000</v>
      </c>
      <c r="D292">
        <f t="shared" si="13"/>
        <v>184950</v>
      </c>
      <c r="E292">
        <f t="shared" si="14"/>
        <v>1.7000402788672723E-3</v>
      </c>
    </row>
    <row r="293" spans="1:5">
      <c r="A293" t="s">
        <v>380</v>
      </c>
      <c r="B293" t="s">
        <v>743</v>
      </c>
      <c r="C293">
        <f t="shared" si="12"/>
        <v>14776000000</v>
      </c>
      <c r="D293">
        <f t="shared" si="13"/>
        <v>147760</v>
      </c>
      <c r="E293">
        <f t="shared" si="14"/>
        <v>1.3581938448522745E-3</v>
      </c>
    </row>
    <row r="294" spans="1:5">
      <c r="A294" t="s">
        <v>381</v>
      </c>
      <c r="B294" t="s">
        <v>744</v>
      </c>
      <c r="C294">
        <f t="shared" si="12"/>
        <v>4357000000</v>
      </c>
      <c r="D294">
        <f t="shared" si="13"/>
        <v>43570</v>
      </c>
      <c r="E294">
        <f t="shared" si="14"/>
        <v>4.0049069992023276E-4</v>
      </c>
    </row>
    <row r="295" spans="1:5">
      <c r="A295" t="s">
        <v>382</v>
      </c>
      <c r="B295" t="s">
        <v>745</v>
      </c>
      <c r="C295">
        <f t="shared" si="12"/>
        <v>18664000000</v>
      </c>
      <c r="D295">
        <f t="shared" si="13"/>
        <v>186640</v>
      </c>
      <c r="E295">
        <f t="shared" si="14"/>
        <v>1.7155745750083141E-3</v>
      </c>
    </row>
    <row r="296" spans="1:5">
      <c r="A296" t="s">
        <v>383</v>
      </c>
      <c r="B296" t="s">
        <v>746</v>
      </c>
      <c r="C296">
        <f t="shared" si="12"/>
        <v>35946000000</v>
      </c>
      <c r="D296">
        <f t="shared" si="13"/>
        <v>359460</v>
      </c>
      <c r="E296">
        <f t="shared" si="14"/>
        <v>3.3041172135259782E-3</v>
      </c>
    </row>
    <row r="297" spans="1:5">
      <c r="A297" t="s">
        <v>384</v>
      </c>
      <c r="B297" t="s">
        <v>747</v>
      </c>
      <c r="C297">
        <f t="shared" si="12"/>
        <v>1267000000</v>
      </c>
      <c r="D297">
        <f t="shared" si="13"/>
        <v>12670</v>
      </c>
      <c r="E297">
        <f t="shared" si="14"/>
        <v>1.1646126160177528E-4</v>
      </c>
    </row>
    <row r="298" spans="1:5">
      <c r="A298" t="s">
        <v>385</v>
      </c>
      <c r="B298" t="s">
        <v>748</v>
      </c>
      <c r="C298">
        <f t="shared" si="12"/>
        <v>99448000000</v>
      </c>
      <c r="D298">
        <f t="shared" si="13"/>
        <v>994480</v>
      </c>
      <c r="E298">
        <f t="shared" si="14"/>
        <v>9.141151968250473E-3</v>
      </c>
    </row>
    <row r="299" spans="1:5">
      <c r="A299" t="s">
        <v>386</v>
      </c>
      <c r="B299" t="s">
        <v>749</v>
      </c>
      <c r="C299">
        <f t="shared" si="12"/>
        <v>30181000000</v>
      </c>
      <c r="D299">
        <f t="shared" si="13"/>
        <v>301810</v>
      </c>
      <c r="E299">
        <f t="shared" si="14"/>
        <v>2.7742046854010889E-3</v>
      </c>
    </row>
    <row r="300" spans="1:5">
      <c r="A300" t="s">
        <v>387</v>
      </c>
      <c r="B300" t="s">
        <v>750</v>
      </c>
      <c r="C300">
        <f t="shared" si="12"/>
        <v>3261000000</v>
      </c>
      <c r="D300">
        <f t="shared" si="13"/>
        <v>32610</v>
      </c>
      <c r="E300">
        <f t="shared" si="14"/>
        <v>2.9974757228365368E-4</v>
      </c>
    </row>
    <row r="301" spans="1:5">
      <c r="A301" t="s">
        <v>388</v>
      </c>
      <c r="B301" t="s">
        <v>751</v>
      </c>
      <c r="C301">
        <f t="shared" si="12"/>
        <v>6204000000</v>
      </c>
      <c r="D301">
        <f t="shared" si="13"/>
        <v>62040</v>
      </c>
      <c r="E301">
        <f t="shared" si="14"/>
        <v>5.7026493052676709E-4</v>
      </c>
    </row>
    <row r="302" spans="1:5">
      <c r="A302" t="s">
        <v>389</v>
      </c>
      <c r="B302" t="s">
        <v>752</v>
      </c>
      <c r="C302">
        <f t="shared" si="12"/>
        <v>6164000000</v>
      </c>
      <c r="D302">
        <f t="shared" si="13"/>
        <v>61640</v>
      </c>
      <c r="E302">
        <f t="shared" si="14"/>
        <v>5.6658817404368021E-4</v>
      </c>
    </row>
    <row r="303" spans="1:5">
      <c r="A303" t="s">
        <v>16</v>
      </c>
      <c r="B303" t="s">
        <v>753</v>
      </c>
      <c r="C303">
        <f t="shared" si="12"/>
        <v>215900000000</v>
      </c>
      <c r="D303">
        <f t="shared" si="13"/>
        <v>2159000</v>
      </c>
      <c r="E303">
        <f t="shared" si="14"/>
        <v>1.9845293117461155E-2</v>
      </c>
    </row>
    <row r="304" spans="1:5">
      <c r="A304" t="s">
        <v>390</v>
      </c>
      <c r="B304" t="s">
        <v>754</v>
      </c>
      <c r="C304">
        <f t="shared" si="12"/>
        <v>3741000000</v>
      </c>
      <c r="D304">
        <f t="shared" si="13"/>
        <v>37410</v>
      </c>
      <c r="E304">
        <f t="shared" si="14"/>
        <v>3.438686500806956E-4</v>
      </c>
    </row>
    <row r="305" spans="1:5">
      <c r="A305" t="s">
        <v>391</v>
      </c>
      <c r="B305" t="s">
        <v>755</v>
      </c>
      <c r="C305">
        <f t="shared" si="12"/>
        <v>7482000000</v>
      </c>
      <c r="D305">
        <f t="shared" si="13"/>
        <v>74820</v>
      </c>
      <c r="E305">
        <f t="shared" si="14"/>
        <v>6.8773730016139119E-4</v>
      </c>
    </row>
    <row r="306" spans="1:5">
      <c r="A306" t="s">
        <v>392</v>
      </c>
      <c r="B306" t="s">
        <v>756</v>
      </c>
      <c r="C306">
        <f t="shared" si="12"/>
        <v>33993000000.000004</v>
      </c>
      <c r="D306">
        <f t="shared" si="13"/>
        <v>339930.00000000006</v>
      </c>
      <c r="E306">
        <f t="shared" si="14"/>
        <v>3.1245995782392642E-3</v>
      </c>
    </row>
    <row r="307" spans="1:5">
      <c r="A307" t="s">
        <v>393</v>
      </c>
      <c r="B307" t="s">
        <v>757</v>
      </c>
      <c r="C307">
        <f t="shared" si="12"/>
        <v>945800000</v>
      </c>
      <c r="D307">
        <f t="shared" si="13"/>
        <v>9458</v>
      </c>
      <c r="E307">
        <f t="shared" si="14"/>
        <v>8.6936907042588048E-5</v>
      </c>
    </row>
    <row r="308" spans="1:5">
      <c r="A308" t="s">
        <v>394</v>
      </c>
      <c r="B308" t="s">
        <v>758</v>
      </c>
      <c r="C308">
        <f t="shared" si="12"/>
        <v>7106000000</v>
      </c>
      <c r="D308">
        <f t="shared" si="13"/>
        <v>71060</v>
      </c>
      <c r="E308">
        <f t="shared" si="14"/>
        <v>6.5317578922037501E-4</v>
      </c>
    </row>
    <row r="309" spans="1:5">
      <c r="A309" t="s">
        <v>395</v>
      </c>
      <c r="B309" t="s">
        <v>759</v>
      </c>
      <c r="C309">
        <f t="shared" si="12"/>
        <v>27858000000</v>
      </c>
      <c r="D309">
        <f t="shared" si="13"/>
        <v>278580</v>
      </c>
      <c r="E309">
        <f t="shared" si="14"/>
        <v>2.5606770526458216E-3</v>
      </c>
    </row>
    <row r="310" spans="1:5">
      <c r="A310" t="s">
        <v>396</v>
      </c>
      <c r="B310" t="s">
        <v>760</v>
      </c>
      <c r="C310">
        <f t="shared" si="12"/>
        <v>11272000000</v>
      </c>
      <c r="D310">
        <f t="shared" si="13"/>
        <v>112720</v>
      </c>
      <c r="E310">
        <f t="shared" si="14"/>
        <v>1.0361099769338681E-3</v>
      </c>
    </row>
    <row r="311" spans="1:5">
      <c r="A311" t="s">
        <v>397</v>
      </c>
      <c r="B311" t="s">
        <v>761</v>
      </c>
      <c r="C311">
        <f t="shared" si="12"/>
        <v>14549000000</v>
      </c>
      <c r="D311">
        <f t="shared" si="13"/>
        <v>145490</v>
      </c>
      <c r="E311">
        <f t="shared" si="14"/>
        <v>1.3373282518107565E-3</v>
      </c>
    </row>
    <row r="312" spans="1:5">
      <c r="A312" t="s">
        <v>398</v>
      </c>
      <c r="B312" t="s">
        <v>762</v>
      </c>
      <c r="C312">
        <f t="shared" si="12"/>
        <v>8724000000</v>
      </c>
      <c r="D312">
        <f t="shared" si="13"/>
        <v>87240</v>
      </c>
      <c r="E312">
        <f t="shared" si="14"/>
        <v>8.0190058896123723E-4</v>
      </c>
    </row>
    <row r="313" spans="1:5">
      <c r="A313" t="s">
        <v>399</v>
      </c>
      <c r="B313" t="s">
        <v>763</v>
      </c>
      <c r="C313">
        <f t="shared" si="12"/>
        <v>7681000000</v>
      </c>
      <c r="D313">
        <f t="shared" si="13"/>
        <v>76810</v>
      </c>
      <c r="E313">
        <f t="shared" si="14"/>
        <v>7.0602916366474815E-4</v>
      </c>
    </row>
    <row r="314" spans="1:5">
      <c r="A314" t="s">
        <v>400</v>
      </c>
      <c r="B314" t="s">
        <v>764</v>
      </c>
      <c r="C314">
        <f t="shared" si="12"/>
        <v>3855000000</v>
      </c>
      <c r="D314">
        <f t="shared" si="13"/>
        <v>38550</v>
      </c>
      <c r="E314">
        <f t="shared" si="14"/>
        <v>3.5434740605749305E-4</v>
      </c>
    </row>
    <row r="315" spans="1:5">
      <c r="A315" t="s">
        <v>401</v>
      </c>
      <c r="B315" t="s">
        <v>765</v>
      </c>
      <c r="C315">
        <f t="shared" si="12"/>
        <v>4266000000</v>
      </c>
      <c r="D315">
        <f t="shared" si="13"/>
        <v>42660</v>
      </c>
      <c r="E315">
        <f t="shared" si="14"/>
        <v>3.9212607892121024E-4</v>
      </c>
    </row>
    <row r="316" spans="1:5">
      <c r="A316" t="s">
        <v>402</v>
      </c>
      <c r="B316" t="s">
        <v>766</v>
      </c>
      <c r="C316">
        <f t="shared" si="12"/>
        <v>22925000000</v>
      </c>
      <c r="D316">
        <f t="shared" si="13"/>
        <v>229250</v>
      </c>
      <c r="E316">
        <f t="shared" si="14"/>
        <v>2.1072410593691387E-3</v>
      </c>
    </row>
    <row r="317" spans="1:5">
      <c r="A317" s="6" t="s">
        <v>403</v>
      </c>
      <c r="B317" s="6" t="s">
        <v>905</v>
      </c>
      <c r="C317" s="6"/>
      <c r="D317" s="6">
        <f t="shared" si="13"/>
        <v>0</v>
      </c>
      <c r="E317">
        <f t="shared" si="14"/>
        <v>0</v>
      </c>
    </row>
    <row r="318" spans="1:5">
      <c r="A318" s="4" t="s">
        <v>404</v>
      </c>
      <c r="B318" s="4" t="s">
        <v>767</v>
      </c>
      <c r="C318" s="4">
        <f t="shared" si="12"/>
        <v>12952000000</v>
      </c>
      <c r="D318">
        <f t="shared" si="13"/>
        <v>129520</v>
      </c>
      <c r="E318">
        <f t="shared" si="14"/>
        <v>1.190533749223515E-3</v>
      </c>
    </row>
    <row r="319" spans="1:5">
      <c r="A319" s="4" t="s">
        <v>405</v>
      </c>
      <c r="B319" s="4" t="s">
        <v>987</v>
      </c>
      <c r="C319" s="4">
        <f>IF(RIGHT(B319,1)="B",LEFT(B319,LEN(B319)-1)*1000000000,LEFT(B319,LEN(B319)-1)*1000000)</f>
        <v>4102000000.0000005</v>
      </c>
      <c r="D319">
        <f t="shared" si="13"/>
        <v>41020.000000000007</v>
      </c>
      <c r="E319">
        <f t="shared" si="14"/>
        <v>3.770513773405543E-4</v>
      </c>
    </row>
    <row r="320" spans="1:5">
      <c r="A320" t="s">
        <v>406</v>
      </c>
      <c r="B320" t="s">
        <v>906</v>
      </c>
      <c r="C320">
        <f t="shared" si="12"/>
        <v>3538000000</v>
      </c>
      <c r="D320">
        <f t="shared" si="13"/>
        <v>35380</v>
      </c>
      <c r="E320">
        <f t="shared" si="14"/>
        <v>3.2520911092902998E-4</v>
      </c>
    </row>
    <row r="321" spans="1:5">
      <c r="A321" t="s">
        <v>407</v>
      </c>
      <c r="B321" t="s">
        <v>907</v>
      </c>
      <c r="C321">
        <f t="shared" si="12"/>
        <v>5571000000</v>
      </c>
      <c r="D321">
        <f t="shared" si="13"/>
        <v>55710</v>
      </c>
      <c r="E321">
        <f t="shared" si="14"/>
        <v>5.1208025918191805E-4</v>
      </c>
    </row>
    <row r="322" spans="1:5">
      <c r="A322" t="s">
        <v>408</v>
      </c>
      <c r="B322" t="s">
        <v>908</v>
      </c>
      <c r="C322">
        <f t="shared" si="12"/>
        <v>30728000000</v>
      </c>
      <c r="D322">
        <f t="shared" si="13"/>
        <v>307280</v>
      </c>
      <c r="E322">
        <f t="shared" si="14"/>
        <v>2.8244843303073014E-3</v>
      </c>
    </row>
    <row r="323" spans="1:5">
      <c r="A323" t="s">
        <v>409</v>
      </c>
      <c r="B323" t="s">
        <v>909</v>
      </c>
      <c r="C323">
        <f t="shared" ref="C323:C386" si="15">IF(RIGHT(B323,1)="B",LEFT(B323,LEN(B323)-1)*1000000000,LEFT(B323,LEN(B323)-1)*1000000)</f>
        <v>42293000000</v>
      </c>
      <c r="D323">
        <f t="shared" ref="D323:D386" si="16">C323/$D$1</f>
        <v>422930</v>
      </c>
      <c r="E323">
        <f t="shared" ref="E323:E386" si="17">D323/$D$502</f>
        <v>3.8875265484797808E-3</v>
      </c>
    </row>
    <row r="324" spans="1:5">
      <c r="A324" t="s">
        <v>410</v>
      </c>
      <c r="B324" t="s">
        <v>910</v>
      </c>
      <c r="C324">
        <f t="shared" si="15"/>
        <v>22908000000</v>
      </c>
      <c r="D324">
        <f t="shared" si="16"/>
        <v>229080</v>
      </c>
      <c r="E324">
        <f t="shared" si="17"/>
        <v>2.1056784378638265E-3</v>
      </c>
    </row>
    <row r="325" spans="1:5">
      <c r="A325" t="s">
        <v>411</v>
      </c>
      <c r="B325" t="s">
        <v>911</v>
      </c>
      <c r="C325">
        <f t="shared" si="15"/>
        <v>2476000000</v>
      </c>
      <c r="D325">
        <f t="shared" si="16"/>
        <v>24760</v>
      </c>
      <c r="E325">
        <f t="shared" si="17"/>
        <v>2.2759122630307466E-4</v>
      </c>
    </row>
    <row r="326" spans="1:5">
      <c r="A326" t="s">
        <v>412</v>
      </c>
      <c r="B326" t="s">
        <v>912</v>
      </c>
      <c r="C326">
        <f t="shared" si="15"/>
        <v>42725000000</v>
      </c>
      <c r="D326">
        <f t="shared" si="16"/>
        <v>427250</v>
      </c>
      <c r="E326">
        <f t="shared" si="17"/>
        <v>3.9272355184971188E-3</v>
      </c>
    </row>
    <row r="327" spans="1:5">
      <c r="A327" t="s">
        <v>413</v>
      </c>
      <c r="B327" t="s">
        <v>913</v>
      </c>
      <c r="C327">
        <f t="shared" si="15"/>
        <v>6042000000</v>
      </c>
      <c r="D327">
        <f t="shared" si="16"/>
        <v>60420</v>
      </c>
      <c r="E327">
        <f t="shared" si="17"/>
        <v>5.553740667702654E-4</v>
      </c>
    </row>
    <row r="328" spans="1:5">
      <c r="A328" t="s">
        <v>414</v>
      </c>
      <c r="B328" t="s">
        <v>914</v>
      </c>
      <c r="C328">
        <f t="shared" si="15"/>
        <v>7751000000</v>
      </c>
      <c r="D328">
        <f t="shared" si="16"/>
        <v>77510</v>
      </c>
      <c r="E328">
        <f t="shared" si="17"/>
        <v>7.1246348751015018E-4</v>
      </c>
    </row>
    <row r="329" spans="1:5">
      <c r="A329" t="s">
        <v>415</v>
      </c>
      <c r="B329" t="s">
        <v>915</v>
      </c>
      <c r="C329">
        <f t="shared" si="15"/>
        <v>12788000000</v>
      </c>
      <c r="D329">
        <f t="shared" si="16"/>
        <v>127880</v>
      </c>
      <c r="E329">
        <f t="shared" si="17"/>
        <v>1.1754590476428591E-3</v>
      </c>
    </row>
    <row r="330" spans="1:5">
      <c r="A330" t="s">
        <v>416</v>
      </c>
      <c r="B330" t="s">
        <v>916</v>
      </c>
      <c r="C330">
        <f t="shared" si="15"/>
        <v>10095000000</v>
      </c>
      <c r="D330">
        <f t="shared" si="16"/>
        <v>100950</v>
      </c>
      <c r="E330">
        <f t="shared" si="17"/>
        <v>9.2792141741903831E-4</v>
      </c>
    </row>
    <row r="331" spans="1:5">
      <c r="A331" t="s">
        <v>417</v>
      </c>
      <c r="B331" t="s">
        <v>917</v>
      </c>
      <c r="C331">
        <f t="shared" si="15"/>
        <v>21492000000</v>
      </c>
      <c r="D331">
        <f t="shared" si="16"/>
        <v>214920</v>
      </c>
      <c r="E331">
        <f t="shared" si="17"/>
        <v>1.9755212583625528E-3</v>
      </c>
    </row>
    <row r="332" spans="1:5">
      <c r="A332" t="s">
        <v>418</v>
      </c>
      <c r="B332" t="s">
        <v>918</v>
      </c>
      <c r="C332">
        <f t="shared" si="15"/>
        <v>8481000000</v>
      </c>
      <c r="D332">
        <f t="shared" si="16"/>
        <v>84810</v>
      </c>
      <c r="E332">
        <f t="shared" si="17"/>
        <v>7.795642933264848E-4</v>
      </c>
    </row>
    <row r="333" spans="1:5">
      <c r="A333" t="s">
        <v>419</v>
      </c>
      <c r="B333" t="s">
        <v>919</v>
      </c>
      <c r="C333">
        <f t="shared" si="15"/>
        <v>14662000000</v>
      </c>
      <c r="D333">
        <f t="shared" si="16"/>
        <v>146620</v>
      </c>
      <c r="E333">
        <f t="shared" si="17"/>
        <v>1.3477150888754768E-3</v>
      </c>
    </row>
    <row r="334" spans="1:5">
      <c r="A334" t="s">
        <v>420</v>
      </c>
      <c r="B334" t="s">
        <v>920</v>
      </c>
      <c r="C334">
        <f t="shared" si="15"/>
        <v>6023000000</v>
      </c>
      <c r="D334">
        <f t="shared" si="16"/>
        <v>60230</v>
      </c>
      <c r="E334">
        <f t="shared" si="17"/>
        <v>5.5362760744079916E-4</v>
      </c>
    </row>
    <row r="335" spans="1:5">
      <c r="A335" t="s">
        <v>421</v>
      </c>
      <c r="B335" t="s">
        <v>921</v>
      </c>
      <c r="C335">
        <f t="shared" si="15"/>
        <v>10116000000</v>
      </c>
      <c r="D335">
        <f t="shared" si="16"/>
        <v>101160</v>
      </c>
      <c r="E335">
        <f t="shared" si="17"/>
        <v>9.2985171457265884E-4</v>
      </c>
    </row>
    <row r="336" spans="1:5">
      <c r="A336" t="s">
        <v>422</v>
      </c>
      <c r="B336" t="s">
        <v>922</v>
      </c>
      <c r="C336">
        <f t="shared" si="15"/>
        <v>2001000000</v>
      </c>
      <c r="D336">
        <f t="shared" si="16"/>
        <v>20010</v>
      </c>
      <c r="E336">
        <f t="shared" si="17"/>
        <v>1.8392974306641858E-4</v>
      </c>
    </row>
    <row r="337" spans="1:5">
      <c r="A337" t="s">
        <v>423</v>
      </c>
      <c r="B337" t="s">
        <v>923</v>
      </c>
      <c r="C337">
        <f t="shared" si="15"/>
        <v>5184000000</v>
      </c>
      <c r="D337">
        <f t="shared" si="16"/>
        <v>51840</v>
      </c>
      <c r="E337">
        <f t="shared" si="17"/>
        <v>4.7650764020805295E-4</v>
      </c>
    </row>
    <row r="338" spans="1:5">
      <c r="A338" t="s">
        <v>424</v>
      </c>
      <c r="B338" t="s">
        <v>924</v>
      </c>
      <c r="C338">
        <f t="shared" si="15"/>
        <v>10176000000</v>
      </c>
      <c r="D338">
        <f t="shared" si="16"/>
        <v>101760</v>
      </c>
      <c r="E338">
        <f t="shared" si="17"/>
        <v>9.3536684929728916E-4</v>
      </c>
    </row>
    <row r="339" spans="1:5">
      <c r="A339" t="s">
        <v>425</v>
      </c>
      <c r="B339" t="s">
        <v>925</v>
      </c>
      <c r="C339">
        <f t="shared" si="15"/>
        <v>8087000000</v>
      </c>
      <c r="D339">
        <f t="shared" si="16"/>
        <v>80870</v>
      </c>
      <c r="E339">
        <f t="shared" si="17"/>
        <v>7.4334824196807948E-4</v>
      </c>
    </row>
    <row r="340" spans="1:5">
      <c r="A340" t="s">
        <v>426</v>
      </c>
      <c r="B340" t="s">
        <v>926</v>
      </c>
      <c r="C340">
        <f t="shared" si="15"/>
        <v>6414000000</v>
      </c>
      <c r="D340">
        <f t="shared" si="16"/>
        <v>64140</v>
      </c>
      <c r="E340">
        <f t="shared" si="17"/>
        <v>5.8956790206297286E-4</v>
      </c>
    </row>
    <row r="341" spans="1:5">
      <c r="A341" t="s">
        <v>427</v>
      </c>
      <c r="B341" t="s">
        <v>927</v>
      </c>
      <c r="C341">
        <f t="shared" si="15"/>
        <v>9408000000</v>
      </c>
      <c r="D341">
        <f t="shared" si="16"/>
        <v>94080</v>
      </c>
      <c r="E341">
        <f t="shared" si="17"/>
        <v>8.6477312482202196E-4</v>
      </c>
    </row>
    <row r="342" spans="1:5">
      <c r="A342" t="s">
        <v>428</v>
      </c>
      <c r="B342" t="s">
        <v>928</v>
      </c>
      <c r="C342">
        <f t="shared" si="15"/>
        <v>61957000000</v>
      </c>
      <c r="D342">
        <f t="shared" si="16"/>
        <v>619570</v>
      </c>
      <c r="E342">
        <f t="shared" si="17"/>
        <v>5.6950200355652654E-3</v>
      </c>
    </row>
    <row r="343" spans="1:5">
      <c r="A343" t="s">
        <v>429</v>
      </c>
      <c r="B343" t="s">
        <v>929</v>
      </c>
      <c r="C343">
        <f t="shared" si="15"/>
        <v>10813000000</v>
      </c>
      <c r="D343">
        <f t="shared" si="16"/>
        <v>108130</v>
      </c>
      <c r="E343">
        <f t="shared" si="17"/>
        <v>9.939191962904468E-4</v>
      </c>
    </row>
    <row r="344" spans="1:5">
      <c r="A344" t="s">
        <v>430</v>
      </c>
      <c r="B344" t="s">
        <v>930</v>
      </c>
      <c r="C344">
        <f t="shared" si="15"/>
        <v>6956000000</v>
      </c>
      <c r="D344">
        <f t="shared" si="16"/>
        <v>69560</v>
      </c>
      <c r="E344">
        <f t="shared" si="17"/>
        <v>6.3938795240879945E-4</v>
      </c>
    </row>
    <row r="345" spans="1:5">
      <c r="A345" t="s">
        <v>431</v>
      </c>
      <c r="B345" t="s">
        <v>931</v>
      </c>
      <c r="C345">
        <f t="shared" si="15"/>
        <v>151200000000</v>
      </c>
      <c r="D345">
        <f t="shared" si="16"/>
        <v>1512000</v>
      </c>
      <c r="E345">
        <f t="shared" si="17"/>
        <v>1.389813950606821E-2</v>
      </c>
    </row>
    <row r="346" spans="1:5">
      <c r="A346" t="s">
        <v>432</v>
      </c>
      <c r="B346" t="s">
        <v>932</v>
      </c>
      <c r="C346">
        <f t="shared" si="15"/>
        <v>2672000000</v>
      </c>
      <c r="D346">
        <f t="shared" si="16"/>
        <v>26720</v>
      </c>
      <c r="E346">
        <f t="shared" si="17"/>
        <v>2.4560733307020012E-4</v>
      </c>
    </row>
    <row r="347" spans="1:5">
      <c r="A347" t="s">
        <v>433</v>
      </c>
      <c r="B347" t="s">
        <v>933</v>
      </c>
      <c r="C347">
        <f t="shared" si="15"/>
        <v>12961000000</v>
      </c>
      <c r="D347">
        <f t="shared" si="16"/>
        <v>129610</v>
      </c>
      <c r="E347">
        <f t="shared" si="17"/>
        <v>1.1913610194322095E-3</v>
      </c>
    </row>
    <row r="348" spans="1:5">
      <c r="A348" t="s">
        <v>434</v>
      </c>
      <c r="B348" t="s">
        <v>934</v>
      </c>
      <c r="C348">
        <f t="shared" si="15"/>
        <v>10595000000</v>
      </c>
      <c r="D348">
        <f t="shared" si="16"/>
        <v>105950</v>
      </c>
      <c r="E348">
        <f t="shared" si="17"/>
        <v>9.7388087345762361E-4</v>
      </c>
    </row>
    <row r="349" spans="1:5">
      <c r="A349" t="s">
        <v>435</v>
      </c>
      <c r="B349" t="s">
        <v>935</v>
      </c>
      <c r="C349">
        <f t="shared" si="15"/>
        <v>5095000000</v>
      </c>
      <c r="D349">
        <f t="shared" si="16"/>
        <v>50950</v>
      </c>
      <c r="E349">
        <f t="shared" si="17"/>
        <v>4.6832685703318474E-4</v>
      </c>
    </row>
    <row r="350" spans="1:5">
      <c r="A350" t="s">
        <v>436</v>
      </c>
      <c r="B350" t="s">
        <v>936</v>
      </c>
      <c r="C350">
        <f t="shared" si="15"/>
        <v>10093000000</v>
      </c>
      <c r="D350">
        <f t="shared" si="16"/>
        <v>100930</v>
      </c>
      <c r="E350">
        <f t="shared" si="17"/>
        <v>9.277375795948839E-4</v>
      </c>
    </row>
    <row r="351" spans="1:5">
      <c r="A351" t="s">
        <v>437</v>
      </c>
      <c r="B351" t="s">
        <v>937</v>
      </c>
      <c r="C351">
        <f t="shared" si="15"/>
        <v>3455000000</v>
      </c>
      <c r="D351">
        <f t="shared" si="16"/>
        <v>34550</v>
      </c>
      <c r="E351">
        <f t="shared" si="17"/>
        <v>3.1757984122662478E-4</v>
      </c>
    </row>
    <row r="352" spans="1:5">
      <c r="A352" t="s">
        <v>438</v>
      </c>
      <c r="B352" t="s">
        <v>938</v>
      </c>
      <c r="C352">
        <f t="shared" si="15"/>
        <v>9832000000</v>
      </c>
      <c r="D352">
        <f t="shared" si="16"/>
        <v>98320</v>
      </c>
      <c r="E352">
        <f t="shared" si="17"/>
        <v>9.0374674354274244E-4</v>
      </c>
    </row>
    <row r="353" spans="1:5">
      <c r="A353" t="s">
        <v>439</v>
      </c>
      <c r="B353" t="s">
        <v>939</v>
      </c>
      <c r="C353">
        <f t="shared" si="15"/>
        <v>9820000000</v>
      </c>
      <c r="D353">
        <f t="shared" si="16"/>
        <v>98200</v>
      </c>
      <c r="E353">
        <f t="shared" si="17"/>
        <v>9.0264371659781631E-4</v>
      </c>
    </row>
    <row r="354" spans="1:5">
      <c r="A354" t="s">
        <v>440</v>
      </c>
      <c r="B354" t="s">
        <v>940</v>
      </c>
      <c r="C354">
        <f t="shared" si="15"/>
        <v>5941000000</v>
      </c>
      <c r="D354">
        <f t="shared" si="16"/>
        <v>59410</v>
      </c>
      <c r="E354">
        <f t="shared" si="17"/>
        <v>5.4609025665047122E-4</v>
      </c>
    </row>
    <row r="355" spans="1:5">
      <c r="A355" t="s">
        <v>441</v>
      </c>
      <c r="B355" t="s">
        <v>941</v>
      </c>
      <c r="C355">
        <f t="shared" si="15"/>
        <v>4035999999.9999995</v>
      </c>
      <c r="D355">
        <f t="shared" si="16"/>
        <v>40359.999999999993</v>
      </c>
      <c r="E355">
        <f t="shared" si="17"/>
        <v>3.7098472914346093E-4</v>
      </c>
    </row>
    <row r="356" spans="1:5">
      <c r="A356" t="s">
        <v>442</v>
      </c>
      <c r="B356" t="s">
        <v>942</v>
      </c>
      <c r="C356">
        <f t="shared" si="15"/>
        <v>4269999999.9999995</v>
      </c>
      <c r="D356">
        <f t="shared" si="16"/>
        <v>42699.999999999993</v>
      </c>
      <c r="E356">
        <f t="shared" si="17"/>
        <v>3.9249375456951885E-4</v>
      </c>
    </row>
    <row r="357" spans="1:5">
      <c r="A357" t="s">
        <v>443</v>
      </c>
      <c r="B357" t="s">
        <v>943</v>
      </c>
      <c r="C357">
        <f t="shared" si="15"/>
        <v>98644000000</v>
      </c>
      <c r="D357">
        <f t="shared" si="16"/>
        <v>986440</v>
      </c>
      <c r="E357">
        <f t="shared" si="17"/>
        <v>9.067249162940428E-3</v>
      </c>
    </row>
    <row r="358" spans="1:5">
      <c r="A358" t="s">
        <v>444</v>
      </c>
      <c r="B358" t="s">
        <v>944</v>
      </c>
      <c r="C358">
        <f t="shared" si="15"/>
        <v>2179000000</v>
      </c>
      <c r="D358">
        <f t="shared" si="16"/>
        <v>21790</v>
      </c>
      <c r="E358">
        <f t="shared" si="17"/>
        <v>2.0029130941615498E-4</v>
      </c>
    </row>
    <row r="359" spans="1:5">
      <c r="A359" t="s">
        <v>445</v>
      </c>
      <c r="B359" t="s">
        <v>945</v>
      </c>
      <c r="C359">
        <f t="shared" si="15"/>
        <v>138200000000</v>
      </c>
      <c r="D359">
        <f t="shared" si="16"/>
        <v>1382000</v>
      </c>
      <c r="E359">
        <f t="shared" si="17"/>
        <v>1.2703193649064991E-2</v>
      </c>
    </row>
    <row r="360" spans="1:5">
      <c r="A360" t="s">
        <v>446</v>
      </c>
      <c r="B360" t="s">
        <v>946</v>
      </c>
      <c r="C360">
        <f t="shared" si="15"/>
        <v>17061000000</v>
      </c>
      <c r="D360">
        <f t="shared" si="16"/>
        <v>170610</v>
      </c>
      <c r="E360">
        <f t="shared" si="17"/>
        <v>1.5682285589486095E-3</v>
      </c>
    </row>
    <row r="361" spans="1:5">
      <c r="A361" t="s">
        <v>447</v>
      </c>
      <c r="B361" t="s">
        <v>947</v>
      </c>
      <c r="C361">
        <f t="shared" si="15"/>
        <v>112300000000</v>
      </c>
      <c r="D361">
        <f t="shared" si="16"/>
        <v>1123000</v>
      </c>
      <c r="E361">
        <f t="shared" si="17"/>
        <v>1.0322493826266271E-2</v>
      </c>
    </row>
    <row r="362" spans="1:5">
      <c r="A362" t="s">
        <v>448</v>
      </c>
      <c r="B362" t="s">
        <v>948</v>
      </c>
      <c r="C362">
        <f t="shared" si="15"/>
        <v>4686000000</v>
      </c>
      <c r="D362">
        <f t="shared" si="16"/>
        <v>46860</v>
      </c>
      <c r="E362">
        <f t="shared" si="17"/>
        <v>4.3073202199362195E-4</v>
      </c>
    </row>
    <row r="363" spans="1:5">
      <c r="A363" t="s">
        <v>449</v>
      </c>
      <c r="B363" t="s">
        <v>949</v>
      </c>
      <c r="C363">
        <f t="shared" si="15"/>
        <v>8196000000</v>
      </c>
      <c r="D363">
        <f t="shared" si="16"/>
        <v>81960</v>
      </c>
      <c r="E363">
        <f t="shared" si="17"/>
        <v>7.5336740338449108E-4</v>
      </c>
    </row>
    <row r="364" spans="1:5">
      <c r="A364" t="s">
        <v>450</v>
      </c>
      <c r="B364" t="s">
        <v>950</v>
      </c>
      <c r="C364">
        <f t="shared" si="15"/>
        <v>3938000000</v>
      </c>
      <c r="D364">
        <f t="shared" si="16"/>
        <v>39380</v>
      </c>
      <c r="E364">
        <f t="shared" si="17"/>
        <v>3.6197667575989825E-4</v>
      </c>
    </row>
    <row r="365" spans="1:5">
      <c r="A365" t="s">
        <v>451</v>
      </c>
      <c r="B365" t="s">
        <v>951</v>
      </c>
      <c r="C365">
        <f t="shared" si="15"/>
        <v>5668000000</v>
      </c>
      <c r="D365">
        <f t="shared" si="16"/>
        <v>56680</v>
      </c>
      <c r="E365">
        <f t="shared" si="17"/>
        <v>5.2099639365340352E-4</v>
      </c>
    </row>
    <row r="366" spans="1:5">
      <c r="A366" t="s">
        <v>452</v>
      </c>
      <c r="B366" t="s">
        <v>952</v>
      </c>
      <c r="C366">
        <f t="shared" si="15"/>
        <v>25659000000</v>
      </c>
      <c r="D366">
        <f t="shared" si="16"/>
        <v>256590</v>
      </c>
      <c r="E366">
        <f t="shared" si="17"/>
        <v>2.358547364988123E-3</v>
      </c>
    </row>
    <row r="367" spans="1:5">
      <c r="A367" t="s">
        <v>453</v>
      </c>
      <c r="B367" t="s">
        <v>953</v>
      </c>
      <c r="C367">
        <f t="shared" si="15"/>
        <v>13272000000</v>
      </c>
      <c r="D367">
        <f t="shared" si="16"/>
        <v>132720</v>
      </c>
      <c r="E367">
        <f t="shared" si="17"/>
        <v>1.2199478010882095E-3</v>
      </c>
    </row>
    <row r="368" spans="1:5">
      <c r="A368" t="s">
        <v>454</v>
      </c>
      <c r="B368" t="s">
        <v>954</v>
      </c>
      <c r="C368">
        <f t="shared" si="15"/>
        <v>11390000000</v>
      </c>
      <c r="D368">
        <f t="shared" si="16"/>
        <v>113900</v>
      </c>
      <c r="E368">
        <f t="shared" si="17"/>
        <v>1.0469564085589743E-3</v>
      </c>
    </row>
    <row r="369" spans="1:5">
      <c r="A369" t="s">
        <v>455</v>
      </c>
      <c r="B369" t="s">
        <v>955</v>
      </c>
      <c r="C369">
        <f t="shared" si="15"/>
        <v>16690999999.999998</v>
      </c>
      <c r="D369">
        <f t="shared" si="16"/>
        <v>166909.99999999997</v>
      </c>
      <c r="E369">
        <f t="shared" si="17"/>
        <v>1.534218561480056E-3</v>
      </c>
    </row>
    <row r="370" spans="1:5">
      <c r="A370" t="s">
        <v>456</v>
      </c>
      <c r="B370" t="s">
        <v>956</v>
      </c>
      <c r="C370">
        <f t="shared" si="15"/>
        <v>28699000000</v>
      </c>
      <c r="D370">
        <f t="shared" si="16"/>
        <v>286990</v>
      </c>
      <c r="E370">
        <f t="shared" si="17"/>
        <v>2.6379808577027221E-3</v>
      </c>
    </row>
    <row r="371" spans="1:5">
      <c r="A371" t="s">
        <v>457</v>
      </c>
      <c r="B371" t="s">
        <v>957</v>
      </c>
      <c r="C371">
        <f t="shared" si="15"/>
        <v>23722000000</v>
      </c>
      <c r="D371">
        <f t="shared" si="16"/>
        <v>237220</v>
      </c>
      <c r="E371">
        <f t="shared" si="17"/>
        <v>2.1805004322946434E-3</v>
      </c>
    </row>
    <row r="372" spans="1:5">
      <c r="A372" t="s">
        <v>458</v>
      </c>
      <c r="B372" t="s">
        <v>958</v>
      </c>
      <c r="C372">
        <f t="shared" si="15"/>
        <v>25032000000</v>
      </c>
      <c r="D372">
        <f t="shared" si="16"/>
        <v>250320</v>
      </c>
      <c r="E372">
        <f t="shared" si="17"/>
        <v>2.3009142071157371E-3</v>
      </c>
    </row>
    <row r="373" spans="1:5">
      <c r="A373" t="s">
        <v>459</v>
      </c>
      <c r="B373" t="s">
        <v>959</v>
      </c>
      <c r="C373">
        <f t="shared" si="15"/>
        <v>7323000000</v>
      </c>
      <c r="D373">
        <f t="shared" si="16"/>
        <v>73230</v>
      </c>
      <c r="E373">
        <f t="shared" si="17"/>
        <v>6.7312219314112111E-4</v>
      </c>
    </row>
    <row r="374" spans="1:5">
      <c r="A374" t="s">
        <v>460</v>
      </c>
      <c r="B374" t="s">
        <v>960</v>
      </c>
      <c r="C374">
        <f t="shared" si="15"/>
        <v>173900000000</v>
      </c>
      <c r="D374">
        <f t="shared" si="16"/>
        <v>1739000</v>
      </c>
      <c r="E374">
        <f t="shared" si="17"/>
        <v>1.5984698810219987E-2</v>
      </c>
    </row>
    <row r="375" spans="1:5">
      <c r="A375" t="s">
        <v>461</v>
      </c>
      <c r="B375" t="s">
        <v>961</v>
      </c>
      <c r="C375">
        <f t="shared" si="15"/>
        <v>15257000000</v>
      </c>
      <c r="D375">
        <f t="shared" si="16"/>
        <v>152570</v>
      </c>
      <c r="E375">
        <f t="shared" si="17"/>
        <v>1.4024068415613934E-3</v>
      </c>
    </row>
    <row r="376" spans="1:5">
      <c r="A376" t="s">
        <v>462</v>
      </c>
      <c r="B376" t="s">
        <v>962</v>
      </c>
      <c r="C376">
        <f t="shared" si="15"/>
        <v>11357000000</v>
      </c>
      <c r="D376">
        <f t="shared" si="16"/>
        <v>113570</v>
      </c>
      <c r="E376">
        <f t="shared" si="17"/>
        <v>1.0439230844604278E-3</v>
      </c>
    </row>
    <row r="377" spans="1:5">
      <c r="A377" t="s">
        <v>463</v>
      </c>
      <c r="B377" t="s">
        <v>963</v>
      </c>
      <c r="C377">
        <f t="shared" si="15"/>
        <v>11700000000</v>
      </c>
      <c r="D377">
        <f t="shared" si="16"/>
        <v>117000</v>
      </c>
      <c r="E377">
        <f t="shared" si="17"/>
        <v>1.0754512713028973E-3</v>
      </c>
    </row>
    <row r="378" spans="1:5">
      <c r="A378" t="s">
        <v>464</v>
      </c>
      <c r="B378" t="s">
        <v>964</v>
      </c>
      <c r="C378">
        <f t="shared" si="15"/>
        <v>22298000000</v>
      </c>
      <c r="D378">
        <f t="shared" si="16"/>
        <v>222980</v>
      </c>
      <c r="E378">
        <f t="shared" si="17"/>
        <v>2.0496079014967524E-3</v>
      </c>
    </row>
    <row r="379" spans="1:5">
      <c r="A379" t="s">
        <v>1</v>
      </c>
      <c r="B379" t="s">
        <v>965</v>
      </c>
      <c r="C379">
        <f t="shared" si="15"/>
        <v>17094000000.000002</v>
      </c>
      <c r="D379">
        <f t="shared" si="16"/>
        <v>170940.00000000003</v>
      </c>
      <c r="E379">
        <f t="shared" si="17"/>
        <v>1.5712618830471562E-3</v>
      </c>
    </row>
    <row r="380" spans="1:5">
      <c r="A380" t="s">
        <v>465</v>
      </c>
      <c r="B380" t="s">
        <v>966</v>
      </c>
      <c r="C380">
        <f t="shared" si="15"/>
        <v>19481000000</v>
      </c>
      <c r="D380">
        <f t="shared" si="16"/>
        <v>194810</v>
      </c>
      <c r="E380">
        <f t="shared" si="17"/>
        <v>1.7906723261753626E-3</v>
      </c>
    </row>
    <row r="381" spans="1:5">
      <c r="A381" t="s">
        <v>466</v>
      </c>
      <c r="B381" t="s">
        <v>967</v>
      </c>
      <c r="C381">
        <f t="shared" si="15"/>
        <v>1541000000</v>
      </c>
      <c r="D381">
        <f t="shared" si="16"/>
        <v>15410</v>
      </c>
      <c r="E381">
        <f t="shared" si="17"/>
        <v>1.4164704351092005E-4</v>
      </c>
    </row>
    <row r="382" spans="1:5">
      <c r="A382" t="s">
        <v>467</v>
      </c>
      <c r="B382" t="s">
        <v>968</v>
      </c>
      <c r="C382">
        <f t="shared" si="15"/>
        <v>4998000000</v>
      </c>
      <c r="D382">
        <f t="shared" si="16"/>
        <v>49980</v>
      </c>
      <c r="E382">
        <f t="shared" si="17"/>
        <v>4.5941072256169922E-4</v>
      </c>
    </row>
    <row r="383" spans="1:5">
      <c r="A383" t="s">
        <v>468</v>
      </c>
      <c r="B383" t="s">
        <v>969</v>
      </c>
      <c r="C383">
        <f t="shared" si="15"/>
        <v>3992000000</v>
      </c>
      <c r="D383">
        <f t="shared" si="16"/>
        <v>39920</v>
      </c>
      <c r="E383">
        <f t="shared" si="17"/>
        <v>3.6694029701206545E-4</v>
      </c>
    </row>
    <row r="384" spans="1:5">
      <c r="A384" t="s">
        <v>469</v>
      </c>
      <c r="B384" t="s">
        <v>970</v>
      </c>
      <c r="C384">
        <f t="shared" si="15"/>
        <v>86809000000</v>
      </c>
      <c r="D384">
        <f t="shared" si="16"/>
        <v>868090</v>
      </c>
      <c r="E384">
        <f t="shared" si="17"/>
        <v>7.9793888385071114E-3</v>
      </c>
    </row>
    <row r="385" spans="1:5">
      <c r="A385" t="s">
        <v>470</v>
      </c>
      <c r="B385" t="s">
        <v>971</v>
      </c>
      <c r="C385">
        <f t="shared" si="15"/>
        <v>7925000000</v>
      </c>
      <c r="D385">
        <f t="shared" si="16"/>
        <v>79250</v>
      </c>
      <c r="E385">
        <f t="shared" si="17"/>
        <v>7.284573782115779E-4</v>
      </c>
    </row>
    <row r="386" spans="1:5">
      <c r="A386" t="s">
        <v>471</v>
      </c>
      <c r="B386" t="s">
        <v>972</v>
      </c>
      <c r="C386">
        <f t="shared" si="15"/>
        <v>1240000000</v>
      </c>
      <c r="D386">
        <f t="shared" si="16"/>
        <v>12400</v>
      </c>
      <c r="E386">
        <f t="shared" si="17"/>
        <v>1.1397945097569167E-4</v>
      </c>
    </row>
    <row r="387" spans="1:5">
      <c r="A387" t="s">
        <v>472</v>
      </c>
      <c r="B387" t="s">
        <v>973</v>
      </c>
      <c r="C387">
        <f t="shared" ref="C387:C450" si="18">IF(RIGHT(B387,1)="B",LEFT(B387,LEN(B387)-1)*1000000000,LEFT(B387,LEN(B387)-1)*1000000)</f>
        <v>9628000000</v>
      </c>
      <c r="D387">
        <f t="shared" ref="D387:D450" si="19">C387/$D$1</f>
        <v>96280</v>
      </c>
      <c r="E387">
        <f t="shared" ref="E387:E450" si="20">D387/$D$502</f>
        <v>8.8499528547899956E-4</v>
      </c>
    </row>
    <row r="388" spans="1:5">
      <c r="A388" t="s">
        <v>473</v>
      </c>
      <c r="B388" t="s">
        <v>974</v>
      </c>
      <c r="C388">
        <f t="shared" si="18"/>
        <v>14364000000</v>
      </c>
      <c r="D388">
        <f t="shared" si="19"/>
        <v>143640</v>
      </c>
      <c r="E388">
        <f t="shared" si="20"/>
        <v>1.3203232530764801E-3</v>
      </c>
    </row>
    <row r="389" spans="1:5">
      <c r="A389" t="s">
        <v>474</v>
      </c>
      <c r="B389" t="s">
        <v>975</v>
      </c>
      <c r="C389">
        <f t="shared" si="18"/>
        <v>8426000000</v>
      </c>
      <c r="D389">
        <f t="shared" si="19"/>
        <v>84260</v>
      </c>
      <c r="E389">
        <f t="shared" si="20"/>
        <v>7.745087531622404E-4</v>
      </c>
    </row>
    <row r="390" spans="1:5">
      <c r="A390" t="s">
        <v>475</v>
      </c>
      <c r="B390" t="s">
        <v>976</v>
      </c>
      <c r="C390">
        <f t="shared" si="18"/>
        <v>4431000000</v>
      </c>
      <c r="D390">
        <f t="shared" si="19"/>
        <v>44310</v>
      </c>
      <c r="E390">
        <f t="shared" si="20"/>
        <v>4.0729269941394339E-4</v>
      </c>
    </row>
    <row r="391" spans="1:5">
      <c r="A391" t="s">
        <v>476</v>
      </c>
      <c r="B391" t="s">
        <v>977</v>
      </c>
      <c r="C391">
        <f t="shared" si="18"/>
        <v>10678000000</v>
      </c>
      <c r="D391">
        <f t="shared" si="19"/>
        <v>106780</v>
      </c>
      <c r="E391">
        <f t="shared" si="20"/>
        <v>9.8151014316002886E-4</v>
      </c>
    </row>
    <row r="392" spans="1:5">
      <c r="A392" t="s">
        <v>477</v>
      </c>
      <c r="B392" t="s">
        <v>978</v>
      </c>
      <c r="C392">
        <f t="shared" si="18"/>
        <v>21632000000</v>
      </c>
      <c r="D392">
        <f t="shared" si="19"/>
        <v>216320</v>
      </c>
      <c r="E392">
        <f t="shared" si="20"/>
        <v>1.9883899060533566E-3</v>
      </c>
    </row>
    <row r="393" spans="1:5">
      <c r="A393" t="s">
        <v>478</v>
      </c>
      <c r="B393" t="s">
        <v>979</v>
      </c>
      <c r="C393">
        <f t="shared" si="18"/>
        <v>3083000000</v>
      </c>
      <c r="D393">
        <f t="shared" si="19"/>
        <v>30830</v>
      </c>
      <c r="E393">
        <f t="shared" si="20"/>
        <v>2.8338600593391731E-4</v>
      </c>
    </row>
    <row r="394" spans="1:5">
      <c r="A394" t="s">
        <v>479</v>
      </c>
      <c r="B394" t="s">
        <v>980</v>
      </c>
      <c r="C394">
        <f t="shared" si="18"/>
        <v>8186999999.999999</v>
      </c>
      <c r="D394">
        <f t="shared" si="19"/>
        <v>81869.999999999985</v>
      </c>
      <c r="E394">
        <f t="shared" si="20"/>
        <v>7.5254013317579646E-4</v>
      </c>
    </row>
    <row r="395" spans="1:5">
      <c r="A395" t="s">
        <v>480</v>
      </c>
      <c r="B395" t="s">
        <v>981</v>
      </c>
      <c r="C395">
        <f t="shared" si="18"/>
        <v>8186000000</v>
      </c>
      <c r="D395">
        <f t="shared" si="19"/>
        <v>81860</v>
      </c>
      <c r="E395">
        <f t="shared" si="20"/>
        <v>7.5244821426371936E-4</v>
      </c>
    </row>
    <row r="396" spans="1:5">
      <c r="A396" t="s">
        <v>481</v>
      </c>
      <c r="B396" t="s">
        <v>982</v>
      </c>
      <c r="C396">
        <f t="shared" si="18"/>
        <v>6862000000</v>
      </c>
      <c r="D396">
        <f t="shared" si="19"/>
        <v>68620</v>
      </c>
      <c r="E396">
        <f t="shared" si="20"/>
        <v>6.3074757467354537E-4</v>
      </c>
    </row>
    <row r="397" spans="1:5">
      <c r="A397" t="s">
        <v>482</v>
      </c>
      <c r="B397" t="s">
        <v>983</v>
      </c>
      <c r="C397">
        <f t="shared" si="18"/>
        <v>9286000000</v>
      </c>
      <c r="D397">
        <f t="shared" si="19"/>
        <v>92860</v>
      </c>
      <c r="E397">
        <f t="shared" si="20"/>
        <v>8.5355901754860714E-4</v>
      </c>
    </row>
    <row r="398" spans="1:5">
      <c r="A398" t="s">
        <v>483</v>
      </c>
      <c r="B398" t="s">
        <v>984</v>
      </c>
      <c r="C398">
        <f t="shared" si="18"/>
        <v>4200000000</v>
      </c>
      <c r="D398">
        <f t="shared" si="19"/>
        <v>42000</v>
      </c>
      <c r="E398">
        <f t="shared" si="20"/>
        <v>3.8605943072411698E-4</v>
      </c>
    </row>
    <row r="399" spans="1:5">
      <c r="A399" t="s">
        <v>484</v>
      </c>
      <c r="B399" t="s">
        <v>985</v>
      </c>
      <c r="C399">
        <f t="shared" si="18"/>
        <v>2016000000</v>
      </c>
      <c r="D399">
        <f t="shared" si="19"/>
        <v>20160</v>
      </c>
      <c r="E399">
        <f t="shared" si="20"/>
        <v>1.8530852674757613E-4</v>
      </c>
    </row>
    <row r="400" spans="1:5">
      <c r="A400" t="s">
        <v>485</v>
      </c>
      <c r="B400" t="s">
        <v>986</v>
      </c>
      <c r="C400">
        <f t="shared" si="18"/>
        <v>5865000000</v>
      </c>
      <c r="D400">
        <f t="shared" si="19"/>
        <v>58650</v>
      </c>
      <c r="E400">
        <f t="shared" si="20"/>
        <v>5.3910441933260618E-4</v>
      </c>
    </row>
    <row r="401" spans="1:5">
      <c r="A401" t="s">
        <v>486</v>
      </c>
      <c r="B401" t="s">
        <v>988</v>
      </c>
      <c r="C401">
        <f t="shared" si="18"/>
        <v>4157000000</v>
      </c>
      <c r="D401">
        <f t="shared" si="19"/>
        <v>41570</v>
      </c>
      <c r="E401">
        <f t="shared" si="20"/>
        <v>3.8210691750479865E-4</v>
      </c>
    </row>
    <row r="402" spans="1:5">
      <c r="A402" t="s">
        <v>487</v>
      </c>
      <c r="B402" t="s">
        <v>989</v>
      </c>
      <c r="C402">
        <f t="shared" si="18"/>
        <v>16462000000</v>
      </c>
      <c r="D402">
        <f t="shared" si="19"/>
        <v>164620</v>
      </c>
      <c r="E402">
        <f t="shared" si="20"/>
        <v>1.5131691306143841E-3</v>
      </c>
    </row>
    <row r="403" spans="1:5">
      <c r="A403" t="s">
        <v>488</v>
      </c>
      <c r="B403" t="s">
        <v>990</v>
      </c>
      <c r="C403">
        <f t="shared" si="18"/>
        <v>10069000000</v>
      </c>
      <c r="D403">
        <f t="shared" si="19"/>
        <v>100690</v>
      </c>
      <c r="E403">
        <f t="shared" si="20"/>
        <v>9.2553152570503186E-4</v>
      </c>
    </row>
    <row r="404" spans="1:5">
      <c r="A404" t="s">
        <v>489</v>
      </c>
      <c r="B404" t="s">
        <v>991</v>
      </c>
      <c r="C404">
        <f t="shared" si="18"/>
        <v>10075000000</v>
      </c>
      <c r="D404">
        <f t="shared" si="19"/>
        <v>100750</v>
      </c>
      <c r="E404">
        <f t="shared" si="20"/>
        <v>9.2608303917749487E-4</v>
      </c>
    </row>
    <row r="405" spans="1:5">
      <c r="A405" t="s">
        <v>490</v>
      </c>
      <c r="B405" t="s">
        <v>992</v>
      </c>
      <c r="C405">
        <f t="shared" si="18"/>
        <v>5189000000</v>
      </c>
      <c r="D405">
        <f t="shared" si="19"/>
        <v>51890</v>
      </c>
      <c r="E405">
        <f t="shared" si="20"/>
        <v>4.7696723476843881E-4</v>
      </c>
    </row>
    <row r="406" spans="1:5">
      <c r="A406" t="s">
        <v>491</v>
      </c>
      <c r="B406" t="s">
        <v>993</v>
      </c>
      <c r="C406">
        <f t="shared" si="18"/>
        <v>81623000000</v>
      </c>
      <c r="D406">
        <f t="shared" si="19"/>
        <v>816230</v>
      </c>
      <c r="E406">
        <f t="shared" si="20"/>
        <v>7.5026973604749043E-3</v>
      </c>
    </row>
    <row r="407" spans="1:5">
      <c r="A407" t="s">
        <v>492</v>
      </c>
      <c r="B407" t="s">
        <v>994</v>
      </c>
      <c r="C407">
        <f t="shared" si="18"/>
        <v>6331000000</v>
      </c>
      <c r="D407">
        <f t="shared" si="19"/>
        <v>63310</v>
      </c>
      <c r="E407">
        <f t="shared" si="20"/>
        <v>5.8193863236056772E-4</v>
      </c>
    </row>
    <row r="408" spans="1:5">
      <c r="A408" t="s">
        <v>493</v>
      </c>
      <c r="B408" t="s">
        <v>995</v>
      </c>
      <c r="C408">
        <f t="shared" si="18"/>
        <v>2776000000</v>
      </c>
      <c r="D408">
        <f t="shared" si="19"/>
        <v>27760</v>
      </c>
      <c r="E408">
        <f t="shared" si="20"/>
        <v>2.5516689992622585E-4</v>
      </c>
    </row>
    <row r="409" spans="1:5">
      <c r="A409" t="s">
        <v>494</v>
      </c>
      <c r="B409" t="s">
        <v>996</v>
      </c>
      <c r="C409">
        <f t="shared" si="18"/>
        <v>6033000000</v>
      </c>
      <c r="D409">
        <f t="shared" si="19"/>
        <v>60330</v>
      </c>
      <c r="E409">
        <f t="shared" si="20"/>
        <v>5.5454679656157088E-4</v>
      </c>
    </row>
    <row r="410" spans="1:5">
      <c r="A410" t="s">
        <v>495</v>
      </c>
      <c r="B410" t="s">
        <v>997</v>
      </c>
      <c r="C410">
        <f t="shared" si="18"/>
        <v>12150000000</v>
      </c>
      <c r="D410">
        <f t="shared" si="19"/>
        <v>121500</v>
      </c>
      <c r="E410">
        <f t="shared" si="20"/>
        <v>1.1168147817376241E-3</v>
      </c>
    </row>
    <row r="411" spans="1:5">
      <c r="A411" t="s">
        <v>496</v>
      </c>
      <c r="B411" t="s">
        <v>998</v>
      </c>
      <c r="C411">
        <f t="shared" si="18"/>
        <v>8176000000</v>
      </c>
      <c r="D411">
        <f t="shared" si="19"/>
        <v>81760</v>
      </c>
      <c r="E411">
        <f t="shared" si="20"/>
        <v>7.5152902514294775E-4</v>
      </c>
    </row>
    <row r="412" spans="1:5">
      <c r="A412" t="s">
        <v>497</v>
      </c>
      <c r="B412" t="s">
        <v>999</v>
      </c>
      <c r="C412">
        <f t="shared" si="18"/>
        <v>7685000000</v>
      </c>
      <c r="D412">
        <f t="shared" si="19"/>
        <v>76850</v>
      </c>
      <c r="E412">
        <f t="shared" si="20"/>
        <v>7.0639683931305686E-4</v>
      </c>
    </row>
    <row r="413" spans="1:5">
      <c r="A413" t="s">
        <v>498</v>
      </c>
      <c r="B413" t="s">
        <v>1000</v>
      </c>
      <c r="C413">
        <f t="shared" si="18"/>
        <v>32750000000</v>
      </c>
      <c r="D413">
        <f t="shared" si="19"/>
        <v>327500</v>
      </c>
      <c r="E413">
        <f t="shared" si="20"/>
        <v>3.0103443705273404E-3</v>
      </c>
    </row>
    <row r="414" spans="1:5">
      <c r="A414" t="s">
        <v>499</v>
      </c>
      <c r="B414" t="s">
        <v>1001</v>
      </c>
      <c r="C414">
        <f t="shared" si="18"/>
        <v>6480000000</v>
      </c>
      <c r="D414">
        <f t="shared" si="19"/>
        <v>64800</v>
      </c>
      <c r="E414">
        <f t="shared" si="20"/>
        <v>5.9563455026006619E-4</v>
      </c>
    </row>
    <row r="415" spans="1:5">
      <c r="A415" t="s">
        <v>500</v>
      </c>
      <c r="B415" t="s">
        <v>1002</v>
      </c>
      <c r="C415">
        <f t="shared" si="18"/>
        <v>8433000000</v>
      </c>
      <c r="D415">
        <f t="shared" si="19"/>
        <v>84330</v>
      </c>
      <c r="E415">
        <f t="shared" si="20"/>
        <v>7.7515218554678061E-4</v>
      </c>
    </row>
    <row r="416" spans="1:5">
      <c r="A416" t="s">
        <v>501</v>
      </c>
      <c r="B416" t="s">
        <v>1003</v>
      </c>
      <c r="C416">
        <f t="shared" si="18"/>
        <v>2677000000</v>
      </c>
      <c r="D416">
        <f t="shared" si="19"/>
        <v>26770</v>
      </c>
      <c r="E416">
        <f t="shared" si="20"/>
        <v>2.4606692763058598E-4</v>
      </c>
    </row>
    <row r="417" spans="1:5">
      <c r="A417" t="s">
        <v>502</v>
      </c>
      <c r="B417" t="s">
        <v>1004</v>
      </c>
      <c r="C417">
        <f t="shared" si="18"/>
        <v>36364000000</v>
      </c>
      <c r="D417">
        <f t="shared" si="19"/>
        <v>363640</v>
      </c>
      <c r="E417">
        <f t="shared" si="20"/>
        <v>3.3425393187742356E-3</v>
      </c>
    </row>
    <row r="418" spans="1:5">
      <c r="A418" t="s">
        <v>503</v>
      </c>
      <c r="B418" t="s">
        <v>1005</v>
      </c>
      <c r="C418">
        <f t="shared" si="18"/>
        <v>6858000000</v>
      </c>
      <c r="D418">
        <f t="shared" si="19"/>
        <v>68580</v>
      </c>
      <c r="E418">
        <f t="shared" si="20"/>
        <v>6.3037989902523666E-4</v>
      </c>
    </row>
    <row r="419" spans="1:5">
      <c r="A419" t="s">
        <v>504</v>
      </c>
      <c r="B419" t="s">
        <v>1006</v>
      </c>
      <c r="C419">
        <f t="shared" si="18"/>
        <v>12054000000</v>
      </c>
      <c r="D419">
        <f t="shared" si="19"/>
        <v>120540</v>
      </c>
      <c r="E419">
        <f t="shared" si="20"/>
        <v>1.1079905661782157E-3</v>
      </c>
    </row>
    <row r="420" spans="1:5">
      <c r="A420" t="s">
        <v>505</v>
      </c>
      <c r="B420" t="s">
        <v>1007</v>
      </c>
      <c r="C420">
        <f t="shared" si="18"/>
        <v>16070000000</v>
      </c>
      <c r="D420">
        <f t="shared" si="19"/>
        <v>160700</v>
      </c>
      <c r="E420">
        <f t="shared" si="20"/>
        <v>1.4771369170801332E-3</v>
      </c>
    </row>
    <row r="421" spans="1:5">
      <c r="A421" t="s">
        <v>506</v>
      </c>
      <c r="B421" t="s">
        <v>1008</v>
      </c>
      <c r="C421">
        <f t="shared" si="18"/>
        <v>9238000000</v>
      </c>
      <c r="D421">
        <f t="shared" si="19"/>
        <v>92380</v>
      </c>
      <c r="E421">
        <f t="shared" si="20"/>
        <v>8.4914690976890296E-4</v>
      </c>
    </row>
    <row r="422" spans="1:5">
      <c r="A422" t="s">
        <v>507</v>
      </c>
      <c r="B422" t="s">
        <v>721</v>
      </c>
      <c r="C422">
        <f t="shared" si="18"/>
        <v>12261000000</v>
      </c>
      <c r="D422">
        <f t="shared" si="19"/>
        <v>122610</v>
      </c>
      <c r="E422">
        <f t="shared" si="20"/>
        <v>1.12701778097819E-3</v>
      </c>
    </row>
    <row r="423" spans="1:5">
      <c r="A423" t="s">
        <v>508</v>
      </c>
      <c r="B423" t="s">
        <v>1009</v>
      </c>
      <c r="C423">
        <f t="shared" si="18"/>
        <v>8691000000</v>
      </c>
      <c r="D423">
        <f t="shared" si="19"/>
        <v>86910</v>
      </c>
      <c r="E423">
        <f t="shared" si="20"/>
        <v>7.9886726486269057E-4</v>
      </c>
    </row>
    <row r="424" spans="1:5">
      <c r="A424" t="s">
        <v>509</v>
      </c>
      <c r="B424" t="s">
        <v>1010</v>
      </c>
      <c r="C424">
        <f t="shared" si="18"/>
        <v>9858000000</v>
      </c>
      <c r="D424">
        <f t="shared" si="19"/>
        <v>98580</v>
      </c>
      <c r="E424">
        <f t="shared" si="20"/>
        <v>9.0613663525674877E-4</v>
      </c>
    </row>
    <row r="425" spans="1:5">
      <c r="A425" t="s">
        <v>510</v>
      </c>
      <c r="B425" t="s">
        <v>1011</v>
      </c>
      <c r="C425">
        <f t="shared" si="18"/>
        <v>29486000000</v>
      </c>
      <c r="D425">
        <f t="shared" si="19"/>
        <v>294860</v>
      </c>
      <c r="E425">
        <f t="shared" si="20"/>
        <v>2.7103210415074554E-3</v>
      </c>
    </row>
    <row r="426" spans="1:5">
      <c r="A426" t="s">
        <v>511</v>
      </c>
      <c r="B426" t="s">
        <v>1012</v>
      </c>
      <c r="C426">
        <f t="shared" si="18"/>
        <v>7736000000</v>
      </c>
      <c r="D426">
        <f t="shared" si="19"/>
        <v>77360</v>
      </c>
      <c r="E426">
        <f t="shared" si="20"/>
        <v>7.1108470382899255E-4</v>
      </c>
    </row>
    <row r="427" spans="1:5">
      <c r="A427" t="s">
        <v>512</v>
      </c>
      <c r="B427" t="s">
        <v>1013</v>
      </c>
      <c r="C427">
        <f t="shared" si="18"/>
        <v>16164000000.000002</v>
      </c>
      <c r="D427">
        <f t="shared" si="19"/>
        <v>161640.00000000003</v>
      </c>
      <c r="E427">
        <f t="shared" si="20"/>
        <v>1.4857772948153876E-3</v>
      </c>
    </row>
    <row r="428" spans="1:5">
      <c r="A428" t="s">
        <v>513</v>
      </c>
      <c r="B428" t="s">
        <v>1014</v>
      </c>
      <c r="C428">
        <f t="shared" si="18"/>
        <v>7045000000</v>
      </c>
      <c r="D428">
        <f t="shared" si="19"/>
        <v>70450</v>
      </c>
      <c r="E428">
        <f t="shared" si="20"/>
        <v>6.475687355836676E-4</v>
      </c>
    </row>
    <row r="429" spans="1:5">
      <c r="A429" t="s">
        <v>514</v>
      </c>
      <c r="B429" t="s">
        <v>1015</v>
      </c>
      <c r="C429">
        <f t="shared" si="18"/>
        <v>18997000000</v>
      </c>
      <c r="D429">
        <f t="shared" si="19"/>
        <v>189970</v>
      </c>
      <c r="E429">
        <f t="shared" si="20"/>
        <v>1.746183572730012E-3</v>
      </c>
    </row>
    <row r="430" spans="1:5">
      <c r="A430" t="s">
        <v>515</v>
      </c>
      <c r="B430" t="s">
        <v>1016</v>
      </c>
      <c r="C430">
        <f t="shared" si="18"/>
        <v>3916000000</v>
      </c>
      <c r="D430">
        <f t="shared" si="19"/>
        <v>39160</v>
      </c>
      <c r="E430">
        <f t="shared" si="20"/>
        <v>3.5995445969420046E-4</v>
      </c>
    </row>
    <row r="431" spans="1:5">
      <c r="A431" t="s">
        <v>516</v>
      </c>
      <c r="B431" t="s">
        <v>1017</v>
      </c>
      <c r="C431">
        <f t="shared" si="18"/>
        <v>9647000000</v>
      </c>
      <c r="D431">
        <f t="shared" si="19"/>
        <v>96470</v>
      </c>
      <c r="E431">
        <f t="shared" si="20"/>
        <v>8.867417448084658E-4</v>
      </c>
    </row>
    <row r="432" spans="1:5">
      <c r="A432" t="s">
        <v>517</v>
      </c>
      <c r="B432" t="s">
        <v>1018</v>
      </c>
      <c r="C432">
        <f t="shared" si="18"/>
        <v>1428000000</v>
      </c>
      <c r="D432">
        <f t="shared" si="19"/>
        <v>14280</v>
      </c>
      <c r="E432">
        <f t="shared" si="20"/>
        <v>1.3126020644619978E-4</v>
      </c>
    </row>
    <row r="433" spans="1:5">
      <c r="A433" t="s">
        <v>518</v>
      </c>
      <c r="B433" t="s">
        <v>1019</v>
      </c>
      <c r="C433">
        <f t="shared" si="18"/>
        <v>12708000000</v>
      </c>
      <c r="D433">
        <f t="shared" si="19"/>
        <v>127080</v>
      </c>
      <c r="E433">
        <f t="shared" si="20"/>
        <v>1.1681055346766853E-3</v>
      </c>
    </row>
    <row r="434" spans="1:5">
      <c r="A434" t="s">
        <v>519</v>
      </c>
      <c r="B434" t="s">
        <v>1020</v>
      </c>
      <c r="C434">
        <f t="shared" si="18"/>
        <v>15612000000</v>
      </c>
      <c r="D434">
        <f t="shared" si="19"/>
        <v>156120</v>
      </c>
      <c r="E434">
        <f t="shared" si="20"/>
        <v>1.4350380553487892E-3</v>
      </c>
    </row>
    <row r="435" spans="1:5">
      <c r="A435" t="s">
        <v>520</v>
      </c>
      <c r="B435" t="s">
        <v>1021</v>
      </c>
      <c r="C435">
        <f t="shared" si="18"/>
        <v>12459000000</v>
      </c>
      <c r="D435">
        <f t="shared" si="19"/>
        <v>124590</v>
      </c>
      <c r="E435">
        <f t="shared" si="20"/>
        <v>1.1452177255694698E-3</v>
      </c>
    </row>
    <row r="436" spans="1:5">
      <c r="A436" t="s">
        <v>521</v>
      </c>
      <c r="B436" t="s">
        <v>1022</v>
      </c>
      <c r="C436">
        <f t="shared" si="18"/>
        <v>34025000000</v>
      </c>
      <c r="D436">
        <f t="shared" si="19"/>
        <v>340250</v>
      </c>
      <c r="E436">
        <f t="shared" si="20"/>
        <v>3.1275409834257335E-3</v>
      </c>
    </row>
    <row r="437" spans="1:5">
      <c r="A437" t="s">
        <v>522</v>
      </c>
      <c r="B437" t="s">
        <v>1023</v>
      </c>
      <c r="C437">
        <f t="shared" si="18"/>
        <v>3691000000</v>
      </c>
      <c r="D437">
        <f t="shared" si="19"/>
        <v>36910</v>
      </c>
      <c r="E437">
        <f t="shared" si="20"/>
        <v>3.3927270447683705E-4</v>
      </c>
    </row>
    <row r="438" spans="1:5">
      <c r="A438" t="s">
        <v>523</v>
      </c>
      <c r="B438" t="s">
        <v>1024</v>
      </c>
      <c r="C438">
        <f t="shared" si="18"/>
        <v>1620000000</v>
      </c>
      <c r="D438">
        <f t="shared" si="19"/>
        <v>16200</v>
      </c>
      <c r="E438">
        <f t="shared" si="20"/>
        <v>1.4890863756501655E-4</v>
      </c>
    </row>
    <row r="439" spans="1:5">
      <c r="A439" t="s">
        <v>524</v>
      </c>
      <c r="B439" t="s">
        <v>1025</v>
      </c>
      <c r="C439">
        <f t="shared" si="18"/>
        <v>1946000000</v>
      </c>
      <c r="D439">
        <f t="shared" si="19"/>
        <v>19460</v>
      </c>
      <c r="E439">
        <f t="shared" si="20"/>
        <v>1.7887420290217418E-4</v>
      </c>
    </row>
    <row r="440" spans="1:5">
      <c r="A440" t="s">
        <v>525</v>
      </c>
      <c r="B440" t="s">
        <v>1026</v>
      </c>
      <c r="C440">
        <f t="shared" si="18"/>
        <v>9531000000</v>
      </c>
      <c r="D440">
        <f t="shared" si="19"/>
        <v>95310</v>
      </c>
      <c r="E440">
        <f t="shared" si="20"/>
        <v>8.7607915100751399E-4</v>
      </c>
    </row>
    <row r="441" spans="1:5">
      <c r="A441" t="s">
        <v>526</v>
      </c>
      <c r="B441" t="s">
        <v>1027</v>
      </c>
      <c r="C441">
        <f t="shared" si="18"/>
        <v>2093000000</v>
      </c>
      <c r="D441">
        <f t="shared" si="19"/>
        <v>20930</v>
      </c>
      <c r="E441">
        <f t="shared" si="20"/>
        <v>1.923862829775183E-4</v>
      </c>
    </row>
    <row r="442" spans="1:5">
      <c r="A442" t="s">
        <v>527</v>
      </c>
      <c r="B442" t="s">
        <v>1028</v>
      </c>
      <c r="C442">
        <f t="shared" si="18"/>
        <v>2852000000</v>
      </c>
      <c r="D442">
        <f t="shared" si="19"/>
        <v>28520</v>
      </c>
      <c r="E442">
        <f t="shared" si="20"/>
        <v>2.6215273724409084E-4</v>
      </c>
    </row>
    <row r="443" spans="1:5">
      <c r="A443" t="s">
        <v>528</v>
      </c>
      <c r="B443" t="s">
        <v>1029</v>
      </c>
      <c r="C443">
        <f t="shared" si="18"/>
        <v>31644000000</v>
      </c>
      <c r="D443">
        <f t="shared" si="19"/>
        <v>316440</v>
      </c>
      <c r="E443">
        <f t="shared" si="20"/>
        <v>2.9086820537699899E-3</v>
      </c>
    </row>
    <row r="444" spans="1:5">
      <c r="A444" t="s">
        <v>529</v>
      </c>
      <c r="B444" t="s">
        <v>1030</v>
      </c>
      <c r="C444">
        <f t="shared" si="18"/>
        <v>5031000000</v>
      </c>
      <c r="D444">
        <f t="shared" si="19"/>
        <v>50310</v>
      </c>
      <c r="E444">
        <f t="shared" si="20"/>
        <v>4.6244404666024582E-4</v>
      </c>
    </row>
    <row r="445" spans="1:5">
      <c r="A445" t="s">
        <v>530</v>
      </c>
      <c r="B445" t="s">
        <v>1031</v>
      </c>
      <c r="C445">
        <f t="shared" si="18"/>
        <v>13420000000</v>
      </c>
      <c r="D445">
        <f t="shared" si="19"/>
        <v>134200</v>
      </c>
      <c r="E445">
        <f t="shared" si="20"/>
        <v>1.2335518000756308E-3</v>
      </c>
    </row>
    <row r="446" spans="1:5">
      <c r="A446" t="s">
        <v>531</v>
      </c>
      <c r="B446" t="s">
        <v>1032</v>
      </c>
      <c r="C446">
        <f t="shared" si="18"/>
        <v>20292000000</v>
      </c>
      <c r="D446">
        <f t="shared" si="19"/>
        <v>202920</v>
      </c>
      <c r="E446">
        <f t="shared" si="20"/>
        <v>1.865218563869948E-3</v>
      </c>
    </row>
    <row r="447" spans="1:5">
      <c r="A447" t="s">
        <v>532</v>
      </c>
      <c r="B447" t="s">
        <v>1033</v>
      </c>
      <c r="C447">
        <f t="shared" si="18"/>
        <v>19476000000</v>
      </c>
      <c r="D447">
        <f t="shared" si="19"/>
        <v>194760</v>
      </c>
      <c r="E447">
        <f t="shared" si="20"/>
        <v>1.7902127316149767E-3</v>
      </c>
    </row>
    <row r="448" spans="1:5">
      <c r="A448" t="s">
        <v>533</v>
      </c>
      <c r="B448" t="s">
        <v>1034</v>
      </c>
      <c r="C448">
        <f t="shared" si="18"/>
        <v>8884000000</v>
      </c>
      <c r="D448">
        <f t="shared" si="19"/>
        <v>88840</v>
      </c>
      <c r="E448">
        <f t="shared" si="20"/>
        <v>8.1660761489358452E-4</v>
      </c>
    </row>
    <row r="449" spans="1:5">
      <c r="A449" t="s">
        <v>534</v>
      </c>
      <c r="B449" t="s">
        <v>1035</v>
      </c>
      <c r="C449">
        <f t="shared" si="18"/>
        <v>32263000000</v>
      </c>
      <c r="D449">
        <f t="shared" si="19"/>
        <v>322630</v>
      </c>
      <c r="E449">
        <f t="shared" si="20"/>
        <v>2.9655798603457585E-3</v>
      </c>
    </row>
    <row r="450" spans="1:5">
      <c r="A450" t="s">
        <v>535</v>
      </c>
      <c r="B450" t="s">
        <v>1036</v>
      </c>
      <c r="C450">
        <f t="shared" si="18"/>
        <v>21244000000</v>
      </c>
      <c r="D450">
        <f t="shared" si="19"/>
        <v>212440</v>
      </c>
      <c r="E450">
        <f t="shared" si="20"/>
        <v>1.9527253681674145E-3</v>
      </c>
    </row>
    <row r="451" spans="1:5">
      <c r="A451" t="s">
        <v>536</v>
      </c>
      <c r="B451" t="s">
        <v>1037</v>
      </c>
      <c r="C451">
        <f t="shared" ref="C451:C501" si="21">IF(RIGHT(B451,1)="B",LEFT(B451,LEN(B451)-1)*1000000000,LEFT(B451,LEN(B451)-1)*1000000)</f>
        <v>2686000000</v>
      </c>
      <c r="D451">
        <f t="shared" ref="D451:D501" si="22">C451/$D$1</f>
        <v>26860</v>
      </c>
      <c r="E451">
        <f t="shared" ref="E451:E502" si="23">D451/$D$502</f>
        <v>2.4689419783928049E-4</v>
      </c>
    </row>
    <row r="452" spans="1:5">
      <c r="A452" t="s">
        <v>537</v>
      </c>
      <c r="B452" t="s">
        <v>1038</v>
      </c>
      <c r="C452">
        <f t="shared" si="21"/>
        <v>22028000000</v>
      </c>
      <c r="D452">
        <f t="shared" si="22"/>
        <v>220280</v>
      </c>
      <c r="E452">
        <f t="shared" si="23"/>
        <v>2.0247897952359161E-3</v>
      </c>
    </row>
    <row r="453" spans="1:5">
      <c r="A453" t="s">
        <v>538</v>
      </c>
      <c r="B453" t="s">
        <v>1039</v>
      </c>
      <c r="C453">
        <f t="shared" si="21"/>
        <v>3657000000</v>
      </c>
      <c r="D453">
        <f t="shared" si="22"/>
        <v>36570</v>
      </c>
      <c r="E453">
        <f t="shared" si="23"/>
        <v>3.361474614662133E-4</v>
      </c>
    </row>
    <row r="454" spans="1:5">
      <c r="A454" t="s">
        <v>539</v>
      </c>
      <c r="B454" t="s">
        <v>1040</v>
      </c>
      <c r="C454">
        <f t="shared" si="21"/>
        <v>3333000000</v>
      </c>
      <c r="D454">
        <f t="shared" si="22"/>
        <v>33330</v>
      </c>
      <c r="E454">
        <f t="shared" si="23"/>
        <v>3.0636573395320996E-4</v>
      </c>
    </row>
    <row r="455" spans="1:5">
      <c r="A455" t="s">
        <v>540</v>
      </c>
      <c r="B455" t="s">
        <v>1041</v>
      </c>
      <c r="C455">
        <f t="shared" si="21"/>
        <v>6251000000</v>
      </c>
      <c r="D455">
        <f t="shared" si="22"/>
        <v>62510</v>
      </c>
      <c r="E455">
        <f t="shared" si="23"/>
        <v>5.7458511939439407E-4</v>
      </c>
    </row>
    <row r="456" spans="1:5">
      <c r="A456" t="s">
        <v>541</v>
      </c>
      <c r="B456" t="s">
        <v>1042</v>
      </c>
      <c r="C456">
        <f t="shared" si="21"/>
        <v>19220000000</v>
      </c>
      <c r="D456">
        <f t="shared" si="22"/>
        <v>192200</v>
      </c>
      <c r="E456">
        <f t="shared" si="23"/>
        <v>1.7666814901232211E-3</v>
      </c>
    </row>
    <row r="457" spans="1:5">
      <c r="A457" t="s">
        <v>542</v>
      </c>
      <c r="B457" t="s">
        <v>1043</v>
      </c>
      <c r="C457">
        <f t="shared" si="21"/>
        <v>45276000000</v>
      </c>
      <c r="D457">
        <f t="shared" si="22"/>
        <v>452760</v>
      </c>
      <c r="E457">
        <f t="shared" si="23"/>
        <v>4.1617206632059813E-3</v>
      </c>
    </row>
    <row r="458" spans="1:5">
      <c r="A458" t="s">
        <v>543</v>
      </c>
      <c r="B458" t="s">
        <v>1044</v>
      </c>
      <c r="C458">
        <f t="shared" si="21"/>
        <v>40760000000</v>
      </c>
      <c r="D458">
        <f t="shared" si="22"/>
        <v>407600</v>
      </c>
      <c r="E458">
        <f t="shared" si="23"/>
        <v>3.7466148562654779E-3</v>
      </c>
    </row>
    <row r="459" spans="1:5">
      <c r="A459" t="s">
        <v>544</v>
      </c>
      <c r="B459" t="s">
        <v>1045</v>
      </c>
      <c r="C459">
        <f t="shared" si="21"/>
        <v>51505000000</v>
      </c>
      <c r="D459">
        <f t="shared" si="22"/>
        <v>515050</v>
      </c>
      <c r="E459">
        <f t="shared" si="23"/>
        <v>4.7342835665346774E-3</v>
      </c>
    </row>
    <row r="460" spans="1:5">
      <c r="A460" t="s">
        <v>545</v>
      </c>
      <c r="B460" t="s">
        <v>1046</v>
      </c>
      <c r="C460">
        <f t="shared" si="21"/>
        <v>62094000000</v>
      </c>
      <c r="D460">
        <f t="shared" si="22"/>
        <v>620940</v>
      </c>
      <c r="E460">
        <f t="shared" si="23"/>
        <v>5.7076129265198382E-3</v>
      </c>
    </row>
    <row r="461" spans="1:5">
      <c r="A461" t="s">
        <v>546</v>
      </c>
      <c r="B461" t="s">
        <v>1047</v>
      </c>
      <c r="C461">
        <f t="shared" si="21"/>
        <v>3249000000</v>
      </c>
      <c r="D461">
        <f t="shared" si="22"/>
        <v>32490</v>
      </c>
      <c r="E461">
        <f t="shared" si="23"/>
        <v>2.9864454533872761E-4</v>
      </c>
    </row>
    <row r="462" spans="1:5">
      <c r="A462" t="s">
        <v>547</v>
      </c>
      <c r="B462" t="s">
        <v>1048</v>
      </c>
      <c r="C462">
        <f t="shared" si="21"/>
        <v>65455000000</v>
      </c>
      <c r="D462">
        <f t="shared" si="22"/>
        <v>654550</v>
      </c>
      <c r="E462">
        <f t="shared" si="23"/>
        <v>6.0165523900112088E-3</v>
      </c>
    </row>
    <row r="463" spans="1:5">
      <c r="A463" t="s">
        <v>548</v>
      </c>
      <c r="B463" t="s">
        <v>1049</v>
      </c>
      <c r="C463">
        <f t="shared" si="21"/>
        <v>6361000000</v>
      </c>
      <c r="D463">
        <f t="shared" si="22"/>
        <v>63610</v>
      </c>
      <c r="E463">
        <f t="shared" si="23"/>
        <v>5.8469619972288287E-4</v>
      </c>
    </row>
    <row r="464" spans="1:5">
      <c r="A464" t="s">
        <v>549</v>
      </c>
      <c r="B464" t="s">
        <v>1050</v>
      </c>
      <c r="C464">
        <f t="shared" si="21"/>
        <v>3560000000</v>
      </c>
      <c r="D464">
        <f t="shared" si="22"/>
        <v>35600</v>
      </c>
      <c r="E464">
        <f t="shared" si="23"/>
        <v>3.2723132699472772E-4</v>
      </c>
    </row>
    <row r="465" spans="1:5">
      <c r="A465" t="s">
        <v>550</v>
      </c>
      <c r="B465" t="s">
        <v>1051</v>
      </c>
      <c r="C465">
        <f t="shared" si="21"/>
        <v>13938000000</v>
      </c>
      <c r="D465">
        <f t="shared" si="22"/>
        <v>139380</v>
      </c>
      <c r="E465">
        <f t="shared" si="23"/>
        <v>1.2811657965316053E-3</v>
      </c>
    </row>
    <row r="466" spans="1:5">
      <c r="A466" t="s">
        <v>551</v>
      </c>
      <c r="B466" t="s">
        <v>1052</v>
      </c>
      <c r="C466">
        <f t="shared" si="21"/>
        <v>10607000000</v>
      </c>
      <c r="D466">
        <f t="shared" si="22"/>
        <v>106070</v>
      </c>
      <c r="E466">
        <f t="shared" si="23"/>
        <v>9.7498390040254973E-4</v>
      </c>
    </row>
    <row r="467" spans="1:5">
      <c r="A467" t="s">
        <v>552</v>
      </c>
      <c r="B467" t="s">
        <v>1053</v>
      </c>
      <c r="C467">
        <f t="shared" si="21"/>
        <v>6132000000</v>
      </c>
      <c r="D467">
        <f t="shared" si="22"/>
        <v>61320</v>
      </c>
      <c r="E467">
        <f t="shared" si="23"/>
        <v>5.6364676885721076E-4</v>
      </c>
    </row>
    <row r="468" spans="1:5">
      <c r="A468" t="s">
        <v>553</v>
      </c>
      <c r="B468" t="s">
        <v>1054</v>
      </c>
      <c r="C468">
        <f t="shared" si="21"/>
        <v>14261000000</v>
      </c>
      <c r="D468">
        <f t="shared" si="22"/>
        <v>142610</v>
      </c>
      <c r="E468">
        <f t="shared" si="23"/>
        <v>1.3108556051325314E-3</v>
      </c>
    </row>
    <row r="469" spans="1:5">
      <c r="A469" t="s">
        <v>554</v>
      </c>
      <c r="B469" t="s">
        <v>1055</v>
      </c>
      <c r="C469">
        <f t="shared" si="21"/>
        <v>4772000000</v>
      </c>
      <c r="D469">
        <f t="shared" si="22"/>
        <v>47720</v>
      </c>
      <c r="E469">
        <f t="shared" si="23"/>
        <v>4.3863704843225861E-4</v>
      </c>
    </row>
    <row r="470" spans="1:5">
      <c r="A470" t="s">
        <v>555</v>
      </c>
      <c r="B470" t="s">
        <v>1056</v>
      </c>
      <c r="C470">
        <f t="shared" si="21"/>
        <v>104700000000</v>
      </c>
      <c r="D470">
        <f t="shared" si="22"/>
        <v>1047000</v>
      </c>
      <c r="E470">
        <f t="shared" si="23"/>
        <v>9.6239100944797724E-3</v>
      </c>
    </row>
    <row r="471" spans="1:5">
      <c r="A471" t="s">
        <v>556</v>
      </c>
      <c r="B471" t="s">
        <v>1057</v>
      </c>
      <c r="C471">
        <f t="shared" si="21"/>
        <v>23507000000</v>
      </c>
      <c r="D471">
        <f t="shared" si="22"/>
        <v>235070</v>
      </c>
      <c r="E471">
        <f t="shared" si="23"/>
        <v>2.1607378661980519E-3</v>
      </c>
    </row>
    <row r="472" spans="1:5">
      <c r="A472" t="s">
        <v>557</v>
      </c>
      <c r="B472" t="s">
        <v>1058</v>
      </c>
      <c r="C472">
        <f t="shared" si="21"/>
        <v>61028000000</v>
      </c>
      <c r="D472">
        <f t="shared" si="22"/>
        <v>610280</v>
      </c>
      <c r="E472">
        <f t="shared" si="23"/>
        <v>5.6096273662455736E-3</v>
      </c>
    </row>
    <row r="473" spans="1:5">
      <c r="A473" t="s">
        <v>558</v>
      </c>
      <c r="B473" t="s">
        <v>1059</v>
      </c>
      <c r="C473">
        <f t="shared" si="21"/>
        <v>14286000000</v>
      </c>
      <c r="D473">
        <f t="shared" si="22"/>
        <v>142860</v>
      </c>
      <c r="E473">
        <f t="shared" si="23"/>
        <v>1.3131535779344608E-3</v>
      </c>
    </row>
    <row r="474" spans="1:5">
      <c r="A474" t="s">
        <v>559</v>
      </c>
      <c r="B474" t="s">
        <v>1060</v>
      </c>
      <c r="C474">
        <f t="shared" si="21"/>
        <v>3813000000</v>
      </c>
      <c r="D474">
        <f t="shared" si="22"/>
        <v>38130</v>
      </c>
      <c r="E474">
        <f t="shared" si="23"/>
        <v>3.5048681175025193E-4</v>
      </c>
    </row>
    <row r="475" spans="1:5">
      <c r="A475" t="s">
        <v>560</v>
      </c>
      <c r="B475" t="s">
        <v>1061</v>
      </c>
      <c r="C475">
        <f t="shared" si="21"/>
        <v>177700000000</v>
      </c>
      <c r="D475">
        <f t="shared" si="22"/>
        <v>1777000</v>
      </c>
      <c r="E475">
        <f t="shared" si="23"/>
        <v>1.6333990676113234E-2</v>
      </c>
    </row>
    <row r="476" spans="1:5">
      <c r="A476" t="s">
        <v>561</v>
      </c>
      <c r="B476" t="s">
        <v>1062</v>
      </c>
      <c r="C476">
        <f t="shared" si="21"/>
        <v>29834000000</v>
      </c>
      <c r="D476">
        <f t="shared" si="22"/>
        <v>298340</v>
      </c>
      <c r="E476">
        <f t="shared" si="23"/>
        <v>2.7423088229103108E-3</v>
      </c>
    </row>
    <row r="477" spans="1:5">
      <c r="A477" t="s">
        <v>562</v>
      </c>
      <c r="B477" t="s">
        <v>1063</v>
      </c>
      <c r="C477">
        <f t="shared" si="21"/>
        <v>56738000000</v>
      </c>
      <c r="D477">
        <f t="shared" si="22"/>
        <v>567380</v>
      </c>
      <c r="E477">
        <f t="shared" si="23"/>
        <v>5.2152952334345113E-3</v>
      </c>
    </row>
    <row r="478" spans="1:5">
      <c r="A478" t="s">
        <v>563</v>
      </c>
      <c r="B478" t="s">
        <v>1064</v>
      </c>
      <c r="C478">
        <f t="shared" si="21"/>
        <v>2514000000</v>
      </c>
      <c r="D478">
        <f t="shared" si="22"/>
        <v>25140</v>
      </c>
      <c r="E478">
        <f t="shared" si="23"/>
        <v>2.3108414496200716E-4</v>
      </c>
    </row>
    <row r="479" spans="1:5">
      <c r="A479" t="s">
        <v>564</v>
      </c>
      <c r="B479" t="s">
        <v>1065</v>
      </c>
      <c r="C479">
        <f t="shared" si="21"/>
        <v>14997000000</v>
      </c>
      <c r="D479">
        <f t="shared" si="22"/>
        <v>149970</v>
      </c>
      <c r="E479">
        <f t="shared" si="23"/>
        <v>1.3785079244213292E-3</v>
      </c>
    </row>
    <row r="480" spans="1:5">
      <c r="A480" t="s">
        <v>565</v>
      </c>
      <c r="B480" t="s">
        <v>1066</v>
      </c>
      <c r="C480">
        <f t="shared" si="21"/>
        <v>7048000000</v>
      </c>
      <c r="D480">
        <f t="shared" si="22"/>
        <v>70480</v>
      </c>
      <c r="E480">
        <f t="shared" si="23"/>
        <v>6.4784449231989911E-4</v>
      </c>
    </row>
    <row r="481" spans="1:5">
      <c r="A481" t="s">
        <v>566</v>
      </c>
      <c r="B481" t="s">
        <v>1067</v>
      </c>
      <c r="C481">
        <f t="shared" si="21"/>
        <v>9482000000</v>
      </c>
      <c r="D481">
        <f t="shared" si="22"/>
        <v>94820</v>
      </c>
      <c r="E481">
        <f t="shared" si="23"/>
        <v>8.715751243157326E-4</v>
      </c>
    </row>
    <row r="482" spans="1:5">
      <c r="A482" t="s">
        <v>567</v>
      </c>
      <c r="B482" t="s">
        <v>1068</v>
      </c>
      <c r="C482">
        <f t="shared" si="21"/>
        <v>23490000000</v>
      </c>
      <c r="D482">
        <f t="shared" si="22"/>
        <v>234900</v>
      </c>
      <c r="E482">
        <f t="shared" si="23"/>
        <v>2.1591752446927398E-3</v>
      </c>
    </row>
    <row r="483" spans="1:5">
      <c r="A483" t="s">
        <v>568</v>
      </c>
      <c r="B483" t="s">
        <v>1069</v>
      </c>
      <c r="C483">
        <f t="shared" si="21"/>
        <v>130000000000</v>
      </c>
      <c r="D483">
        <f t="shared" si="22"/>
        <v>1300000</v>
      </c>
      <c r="E483">
        <f t="shared" si="23"/>
        <v>1.1949458570032191E-2</v>
      </c>
    </row>
    <row r="484" spans="1:5">
      <c r="A484" t="s">
        <v>569</v>
      </c>
      <c r="B484" t="s">
        <v>1070</v>
      </c>
      <c r="C484">
        <f t="shared" si="21"/>
        <v>6319000000</v>
      </c>
      <c r="D484">
        <f t="shared" si="22"/>
        <v>63190</v>
      </c>
      <c r="E484">
        <f t="shared" si="23"/>
        <v>5.808356054156417E-4</v>
      </c>
    </row>
    <row r="485" spans="1:5">
      <c r="A485" t="s">
        <v>570</v>
      </c>
      <c r="B485" t="s">
        <v>1071</v>
      </c>
      <c r="C485">
        <f t="shared" si="21"/>
        <v>10018000000</v>
      </c>
      <c r="D485">
        <f t="shared" si="22"/>
        <v>100180</v>
      </c>
      <c r="E485">
        <f t="shared" si="23"/>
        <v>9.2084366118909617E-4</v>
      </c>
    </row>
    <row r="486" spans="1:5">
      <c r="A486" t="s">
        <v>571</v>
      </c>
      <c r="B486" t="s">
        <v>1072</v>
      </c>
      <c r="C486">
        <f t="shared" si="21"/>
        <v>8591000000</v>
      </c>
      <c r="D486">
        <f t="shared" si="22"/>
        <v>85910</v>
      </c>
      <c r="E486">
        <f t="shared" si="23"/>
        <v>7.8967537365497349E-4</v>
      </c>
    </row>
    <row r="487" spans="1:5">
      <c r="A487" t="s">
        <v>572</v>
      </c>
      <c r="B487" t="s">
        <v>1073</v>
      </c>
      <c r="C487">
        <f t="shared" si="21"/>
        <v>3851000000</v>
      </c>
      <c r="D487">
        <f t="shared" si="22"/>
        <v>38510</v>
      </c>
      <c r="E487">
        <f t="shared" si="23"/>
        <v>3.539797304091844E-4</v>
      </c>
    </row>
    <row r="488" spans="1:5">
      <c r="A488" t="s">
        <v>573</v>
      </c>
      <c r="B488" t="s">
        <v>1074</v>
      </c>
      <c r="C488">
        <f t="shared" si="21"/>
        <v>12419000000</v>
      </c>
      <c r="D488">
        <f t="shared" si="22"/>
        <v>124190</v>
      </c>
      <c r="E488">
        <f t="shared" si="23"/>
        <v>1.1415409690863831E-3</v>
      </c>
    </row>
    <row r="489" spans="1:5">
      <c r="A489" t="s">
        <v>574</v>
      </c>
      <c r="B489" t="s">
        <v>1075</v>
      </c>
      <c r="C489">
        <f t="shared" si="21"/>
        <v>14793000000</v>
      </c>
      <c r="D489">
        <f t="shared" si="22"/>
        <v>147930</v>
      </c>
      <c r="E489">
        <f t="shared" si="23"/>
        <v>1.3597564663575862E-3</v>
      </c>
    </row>
    <row r="490" spans="1:5">
      <c r="A490" t="s">
        <v>575</v>
      </c>
      <c r="B490" t="s">
        <v>1076</v>
      </c>
      <c r="C490">
        <f t="shared" si="21"/>
        <v>6048000000</v>
      </c>
      <c r="D490">
        <f t="shared" si="22"/>
        <v>60480</v>
      </c>
      <c r="E490">
        <f t="shared" si="23"/>
        <v>5.559255802427284E-4</v>
      </c>
    </row>
    <row r="491" spans="1:5">
      <c r="A491" t="s">
        <v>576</v>
      </c>
      <c r="B491" t="s">
        <v>1077</v>
      </c>
      <c r="C491">
        <f t="shared" si="21"/>
        <v>7234000000</v>
      </c>
      <c r="D491">
        <f t="shared" si="22"/>
        <v>72340</v>
      </c>
      <c r="E491">
        <f t="shared" si="23"/>
        <v>6.6494140996625284E-4</v>
      </c>
    </row>
    <row r="492" spans="1:5">
      <c r="A492" t="s">
        <v>577</v>
      </c>
      <c r="B492" t="s">
        <v>1078</v>
      </c>
      <c r="C492">
        <f t="shared" si="21"/>
        <v>4881000000</v>
      </c>
      <c r="D492">
        <f t="shared" si="22"/>
        <v>48810</v>
      </c>
      <c r="E492">
        <f t="shared" si="23"/>
        <v>4.486562098486702E-4</v>
      </c>
    </row>
    <row r="493" spans="1:5">
      <c r="A493" t="s">
        <v>578</v>
      </c>
      <c r="B493" t="s">
        <v>1079</v>
      </c>
      <c r="C493">
        <f t="shared" si="21"/>
        <v>16797000000</v>
      </c>
      <c r="D493">
        <f t="shared" si="22"/>
        <v>167970</v>
      </c>
      <c r="E493">
        <f t="shared" si="23"/>
        <v>1.5439619661602364E-3</v>
      </c>
    </row>
    <row r="494" spans="1:5">
      <c r="A494" t="s">
        <v>579</v>
      </c>
      <c r="B494" t="s">
        <v>1080</v>
      </c>
      <c r="C494">
        <f t="shared" si="21"/>
        <v>11925000000</v>
      </c>
      <c r="D494">
        <f t="shared" si="22"/>
        <v>119250</v>
      </c>
      <c r="E494">
        <f t="shared" si="23"/>
        <v>1.0961330265202606E-3</v>
      </c>
    </row>
    <row r="495" spans="1:5">
      <c r="A495" t="s">
        <v>580</v>
      </c>
      <c r="B495" t="s">
        <v>1081</v>
      </c>
      <c r="C495">
        <f t="shared" si="21"/>
        <v>10259000000</v>
      </c>
      <c r="D495">
        <f t="shared" si="22"/>
        <v>102590</v>
      </c>
      <c r="E495">
        <f t="shared" si="23"/>
        <v>9.429961189996943E-4</v>
      </c>
    </row>
    <row r="496" spans="1:5">
      <c r="A496" t="s">
        <v>581</v>
      </c>
      <c r="B496" t="s">
        <v>1082</v>
      </c>
      <c r="C496">
        <f t="shared" si="21"/>
        <v>7565000000</v>
      </c>
      <c r="D496">
        <f t="shared" si="22"/>
        <v>75650</v>
      </c>
      <c r="E496">
        <f t="shared" si="23"/>
        <v>6.9536656986379645E-4</v>
      </c>
    </row>
    <row r="497" spans="1:5">
      <c r="A497" t="s">
        <v>582</v>
      </c>
      <c r="B497" t="s">
        <v>1083</v>
      </c>
      <c r="C497">
        <f t="shared" si="21"/>
        <v>5612000000</v>
      </c>
      <c r="D497">
        <f t="shared" si="22"/>
        <v>56120</v>
      </c>
      <c r="E497">
        <f t="shared" si="23"/>
        <v>5.1584893457708202E-4</v>
      </c>
    </row>
    <row r="498" spans="1:5">
      <c r="A498" t="s">
        <v>583</v>
      </c>
      <c r="B498" t="s">
        <v>1084</v>
      </c>
      <c r="C498">
        <f t="shared" si="21"/>
        <v>17916000000</v>
      </c>
      <c r="D498">
        <f t="shared" si="22"/>
        <v>179160</v>
      </c>
      <c r="E498">
        <f t="shared" si="23"/>
        <v>1.6468192287745903E-3</v>
      </c>
    </row>
    <row r="499" spans="1:5">
      <c r="A499" t="s">
        <v>584</v>
      </c>
      <c r="B499" t="s">
        <v>1085</v>
      </c>
      <c r="C499">
        <f t="shared" si="21"/>
        <v>24414000000</v>
      </c>
      <c r="D499">
        <f t="shared" si="22"/>
        <v>244140</v>
      </c>
      <c r="E499">
        <f t="shared" si="23"/>
        <v>2.2441083194520454E-3</v>
      </c>
    </row>
    <row r="500" spans="1:5">
      <c r="A500" t="s">
        <v>585</v>
      </c>
      <c r="B500" t="s">
        <v>1086</v>
      </c>
      <c r="C500">
        <f t="shared" si="21"/>
        <v>10472000000</v>
      </c>
      <c r="D500">
        <f t="shared" si="22"/>
        <v>104720</v>
      </c>
      <c r="E500">
        <f t="shared" si="23"/>
        <v>9.6257484727213169E-4</v>
      </c>
    </row>
    <row r="501" spans="1:5">
      <c r="A501" t="s">
        <v>586</v>
      </c>
      <c r="B501" t="s">
        <v>1087</v>
      </c>
      <c r="C501">
        <f t="shared" si="21"/>
        <v>2718000000</v>
      </c>
      <c r="D501">
        <f t="shared" si="22"/>
        <v>27180</v>
      </c>
      <c r="E501">
        <f t="shared" si="23"/>
        <v>2.4983560302575E-4</v>
      </c>
    </row>
    <row r="502" spans="1:5">
      <c r="D502">
        <f>SUM(D2:D501)</f>
        <v>108791540</v>
      </c>
      <c r="E502">
        <f t="shared" si="23"/>
        <v>1</v>
      </c>
    </row>
  </sheetData>
  <autoFilter ref="A1:E50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Sheet1</vt:lpstr>
    </vt:vector>
  </TitlesOfParts>
  <Company>IIT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Bilson</dc:creator>
  <cp:lastModifiedBy>Strimpel (F027946 / 4-1328)</cp:lastModifiedBy>
  <dcterms:created xsi:type="dcterms:W3CDTF">2011-08-24T15:41:29Z</dcterms:created>
  <dcterms:modified xsi:type="dcterms:W3CDTF">2011-09-28T20:34:36Z</dcterms:modified>
</cp:coreProperties>
</file>